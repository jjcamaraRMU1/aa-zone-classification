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1.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codeName="{4D1C537B-E38A-612A-F078-A93A15B4B7F4}"/>
  <workbookPr codeName="ThisWorkbook" hidePivotFieldList="1" defaultThemeVersion="166925"/>
  <mc:AlternateContent xmlns:mc="http://schemas.openxmlformats.org/markup-compatibility/2006">
    <mc:Choice Requires="x15">
      <x15ac:absPath xmlns:x15ac="http://schemas.microsoft.com/office/spreadsheetml/2010/11/ac" url="C:\Users\jjcamara\Desktop\Proyecto\"/>
    </mc:Choice>
  </mc:AlternateContent>
  <xr:revisionPtr revIDLastSave="0" documentId="13_ncr:1_{8CEC10DC-5D59-4328-8074-A510B4E6ECC9}" xr6:coauthVersionLast="47" xr6:coauthVersionMax="47" xr10:uidLastSave="{00000000-0000-0000-0000-000000000000}"/>
  <bookViews>
    <workbookView xWindow="-80" yWindow="-80" windowWidth="19360" windowHeight="11440" firstSheet="5" activeTab="8" xr2:uid="{EAFCF8F6-BADC-4610-AAEF-E18BA7AEC264}"/>
  </bookViews>
  <sheets>
    <sheet name=" Stow 15-30Jun" sheetId="5" r:id="rId1"/>
    <sheet name="Sheet1" sheetId="11" r:id="rId2"/>
    <sheet name="Sheet4" sheetId="10" r:id="rId3"/>
    <sheet name="Sheet3" sheetId="9" r:id="rId4"/>
    <sheet name="Sheet6" sheetId="6" r:id="rId5"/>
    <sheet name="TOP_ALLOC_OFFENDERS" sheetId="13" r:id="rId6"/>
    <sheet name="Expected Task " sheetId="16" r:id="rId7"/>
    <sheet name="Actual Task" sheetId="15" r:id="rId8"/>
    <sheet name="ALLOC" sheetId="12" r:id="rId9"/>
    <sheet name="MOTIVOS_TOP_OFFENDERS" sheetId="14" r:id="rId10"/>
  </sheets>
  <definedNames>
    <definedName name="_xlnm._FilterDatabase" localSheetId="0" hidden="1">' Stow 15-30Jun'!$A$1:$F$541</definedName>
    <definedName name="_xlnm._FilterDatabase" localSheetId="8" hidden="1">ALLOC!$A$1:$C$336</definedName>
    <definedName name="_xlnm._FilterDatabase" localSheetId="4" hidden="1">Sheet6!$A$1:$D$1</definedName>
    <definedName name="_xlcn.WorksheetConnection_ALLOCA1C3361" hidden="1">ALLOC!$A$1:$C$336</definedName>
    <definedName name="Slicer_Grupos">#N/A</definedName>
  </definedNames>
  <calcPr calcId="191029"/>
  <pivotCaches>
    <pivotCache cacheId="0" r:id="rId11"/>
    <pivotCache cacheId="4" r:id="rId12"/>
    <pivotCache cacheId="35" r:id="rId13"/>
  </pivotCaches>
  <extLst>
    <ext xmlns:x14="http://schemas.microsoft.com/office/spreadsheetml/2009/9/main" uri="{BBE1A952-AA13-448e-AADC-164F8A28A991}">
      <x14:slicerCaches>
        <x14:slicerCache r:id="rId1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Range" name="Range" connection="WorksheetConnection_ALLOC!$A$1:$C$336"/>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535" i="9" l="1"/>
  <c r="B535" i="9"/>
  <c r="D534" i="9"/>
  <c r="E534" i="9" s="1"/>
  <c r="D533" i="9"/>
  <c r="D532" i="9"/>
  <c r="E532" i="9" s="1"/>
  <c r="D531" i="9"/>
  <c r="E531" i="9" s="1"/>
  <c r="E530" i="9"/>
  <c r="D530" i="9"/>
  <c r="D529" i="9"/>
  <c r="E529" i="9" s="1"/>
  <c r="D528" i="9"/>
  <c r="E528" i="9" s="1"/>
  <c r="D527" i="9"/>
  <c r="D526" i="9"/>
  <c r="E526" i="9" s="1"/>
  <c r="D525" i="9"/>
  <c r="E525" i="9" s="1"/>
  <c r="E524" i="9"/>
  <c r="D524" i="9"/>
  <c r="D523" i="9"/>
  <c r="E523" i="9" s="1"/>
  <c r="D522" i="9"/>
  <c r="E522" i="9" s="1"/>
  <c r="D521" i="9"/>
  <c r="D520" i="9"/>
  <c r="E520" i="9" s="1"/>
  <c r="D519" i="9"/>
  <c r="E519" i="9" s="1"/>
  <c r="E518" i="9"/>
  <c r="D518" i="9"/>
  <c r="D517" i="9"/>
  <c r="E517" i="9" s="1"/>
  <c r="D516" i="9"/>
  <c r="E516" i="9" s="1"/>
  <c r="D515" i="9"/>
  <c r="D514" i="9"/>
  <c r="E514" i="9" s="1"/>
  <c r="D513" i="9"/>
  <c r="E513" i="9" s="1"/>
  <c r="E512" i="9"/>
  <c r="D512" i="9"/>
  <c r="D511" i="9"/>
  <c r="E511" i="9" s="1"/>
  <c r="D510" i="9"/>
  <c r="E510" i="9" s="1"/>
  <c r="D509" i="9"/>
  <c r="D508" i="9"/>
  <c r="E508" i="9" s="1"/>
  <c r="D507" i="9"/>
  <c r="E507" i="9" s="1"/>
  <c r="E506" i="9"/>
  <c r="D506" i="9"/>
  <c r="D505" i="9"/>
  <c r="E505" i="9" s="1"/>
  <c r="D504" i="9"/>
  <c r="E504" i="9" s="1"/>
  <c r="D503" i="9"/>
  <c r="D502" i="9"/>
  <c r="E502" i="9" s="1"/>
  <c r="D501" i="9"/>
  <c r="E501" i="9" s="1"/>
  <c r="E500" i="9"/>
  <c r="D500" i="9"/>
  <c r="E499" i="9"/>
  <c r="D499" i="9"/>
  <c r="D498" i="9"/>
  <c r="E498" i="9" s="1"/>
  <c r="E497" i="9"/>
  <c r="D497" i="9"/>
  <c r="E496" i="9"/>
  <c r="D496" i="9"/>
  <c r="D495" i="9"/>
  <c r="E494" i="9"/>
  <c r="D494" i="9"/>
  <c r="D493" i="9"/>
  <c r="E493" i="9" s="1"/>
  <c r="D492" i="9"/>
  <c r="E491" i="9"/>
  <c r="D491" i="9"/>
  <c r="D490" i="9"/>
  <c r="E490" i="9" s="1"/>
  <c r="D489" i="9"/>
  <c r="D488" i="9"/>
  <c r="E488" i="9" s="1"/>
  <c r="D487" i="9"/>
  <c r="E487" i="9" s="1"/>
  <c r="D486" i="9"/>
  <c r="D485" i="9"/>
  <c r="D484" i="9"/>
  <c r="E484" i="9" s="1"/>
  <c r="D483" i="9"/>
  <c r="D482" i="9"/>
  <c r="E481" i="9"/>
  <c r="D481" i="9"/>
  <c r="D480" i="9"/>
  <c r="E480" i="9" s="1"/>
  <c r="E479" i="9"/>
  <c r="D479" i="9"/>
  <c r="D478" i="9"/>
  <c r="E478" i="9" s="1"/>
  <c r="D477" i="9"/>
  <c r="E477" i="9" s="1"/>
  <c r="D476" i="9"/>
  <c r="E476" i="9" s="1"/>
  <c r="E475" i="9"/>
  <c r="D475" i="9"/>
  <c r="D474" i="9"/>
  <c r="E474" i="9" s="1"/>
  <c r="D473" i="9"/>
  <c r="E472" i="9"/>
  <c r="D472" i="9"/>
  <c r="D471" i="9"/>
  <c r="E471" i="9" s="1"/>
  <c r="D470" i="9"/>
  <c r="D469" i="9"/>
  <c r="E469" i="9" s="1"/>
  <c r="D468" i="9"/>
  <c r="E468" i="9" s="1"/>
  <c r="D467" i="9"/>
  <c r="E467" i="9" s="1"/>
  <c r="E466" i="9"/>
  <c r="D466" i="9"/>
  <c r="D465" i="9"/>
  <c r="E465" i="9" s="1"/>
  <c r="D464" i="9"/>
  <c r="D463" i="9"/>
  <c r="E463" i="9" s="1"/>
  <c r="D462" i="9"/>
  <c r="E462" i="9" s="1"/>
  <c r="D461" i="9"/>
  <c r="D460" i="9"/>
  <c r="E460" i="9" s="1"/>
  <c r="D459" i="9"/>
  <c r="E459" i="9" s="1"/>
  <c r="D458" i="9"/>
  <c r="E458" i="9" s="1"/>
  <c r="E457" i="9"/>
  <c r="D457" i="9"/>
  <c r="D456" i="9"/>
  <c r="E456" i="9" s="1"/>
  <c r="D455" i="9"/>
  <c r="D454" i="9"/>
  <c r="E454" i="9" s="1"/>
  <c r="D453" i="9"/>
  <c r="E453" i="9" s="1"/>
  <c r="D452" i="9"/>
  <c r="D451" i="9"/>
  <c r="E451" i="9" s="1"/>
  <c r="D450" i="9"/>
  <c r="D449" i="9"/>
  <c r="E449" i="9" s="1"/>
  <c r="E448" i="9"/>
  <c r="D448" i="9"/>
  <c r="D447" i="9"/>
  <c r="E447" i="9" s="1"/>
  <c r="D446" i="9"/>
  <c r="D445" i="9"/>
  <c r="E445" i="9" s="1"/>
  <c r="D444" i="9"/>
  <c r="E444" i="9" s="1"/>
  <c r="D443" i="9"/>
  <c r="D442" i="9"/>
  <c r="E442" i="9" s="1"/>
  <c r="D441" i="9"/>
  <c r="D440" i="9"/>
  <c r="E440" i="9" s="1"/>
  <c r="E439" i="9"/>
  <c r="D439" i="9"/>
  <c r="E438" i="9"/>
  <c r="D438" i="9"/>
  <c r="E437" i="9"/>
  <c r="D437" i="9"/>
  <c r="E436" i="9"/>
  <c r="D436" i="9"/>
  <c r="E435" i="9"/>
  <c r="D435" i="9"/>
  <c r="D434" i="9"/>
  <c r="E434" i="9" s="1"/>
  <c r="D433" i="9"/>
  <c r="E433" i="9" s="1"/>
  <c r="E432" i="9"/>
  <c r="D432" i="9"/>
  <c r="E431" i="9"/>
  <c r="D431" i="9"/>
  <c r="E430" i="9"/>
  <c r="D430" i="9"/>
  <c r="D429" i="9"/>
  <c r="D428" i="9"/>
  <c r="E428" i="9" s="1"/>
  <c r="E427" i="9"/>
  <c r="D427" i="9"/>
  <c r="E426" i="9"/>
  <c r="D426" i="9"/>
  <c r="E425" i="9"/>
  <c r="D425" i="9"/>
  <c r="E424" i="9"/>
  <c r="D424" i="9"/>
  <c r="E423" i="9"/>
  <c r="D423" i="9"/>
  <c r="D422" i="9"/>
  <c r="E422" i="9" s="1"/>
  <c r="D421" i="9"/>
  <c r="E421" i="9" s="1"/>
  <c r="E420" i="9"/>
  <c r="D420" i="9"/>
  <c r="E419" i="9"/>
  <c r="D419" i="9"/>
  <c r="E418" i="9"/>
  <c r="D418" i="9"/>
  <c r="D417" i="9"/>
  <c r="D416" i="9"/>
  <c r="E416" i="9" s="1"/>
  <c r="E415" i="9"/>
  <c r="D415" i="9"/>
  <c r="E414" i="9"/>
  <c r="D414" i="9"/>
  <c r="E413" i="9"/>
  <c r="D413" i="9"/>
  <c r="E412" i="9"/>
  <c r="D412" i="9"/>
  <c r="D411" i="9"/>
  <c r="D410" i="9"/>
  <c r="E410" i="9" s="1"/>
  <c r="D409" i="9"/>
  <c r="E408" i="9"/>
  <c r="D408" i="9"/>
  <c r="E407" i="9"/>
  <c r="D407" i="9"/>
  <c r="E406" i="9"/>
  <c r="D406" i="9"/>
  <c r="D405" i="9"/>
  <c r="D404" i="9"/>
  <c r="E404" i="9" s="1"/>
  <c r="E403" i="9"/>
  <c r="D403" i="9"/>
  <c r="E402" i="9"/>
  <c r="D402" i="9"/>
  <c r="E401" i="9"/>
  <c r="D401" i="9"/>
  <c r="D400" i="9"/>
  <c r="E400" i="9" s="1"/>
  <c r="E399" i="9"/>
  <c r="D399" i="9"/>
  <c r="E398" i="9"/>
  <c r="D398" i="9"/>
  <c r="D397" i="9"/>
  <c r="E397" i="9" s="1"/>
  <c r="D396" i="9"/>
  <c r="E395" i="9"/>
  <c r="D395" i="9"/>
  <c r="D394" i="9"/>
  <c r="D393" i="9"/>
  <c r="E392" i="9"/>
  <c r="D392" i="9"/>
  <c r="D391" i="9"/>
  <c r="E391" i="9" s="1"/>
  <c r="E390" i="9"/>
  <c r="D390" i="9"/>
  <c r="D389" i="9"/>
  <c r="D388" i="9"/>
  <c r="E388" i="9" s="1"/>
  <c r="E387" i="9"/>
  <c r="D387" i="9"/>
  <c r="D386" i="9"/>
  <c r="E385" i="9"/>
  <c r="D385" i="9"/>
  <c r="E384" i="9"/>
  <c r="D384" i="9"/>
  <c r="E383" i="9"/>
  <c r="D383" i="9"/>
  <c r="D382" i="9"/>
  <c r="E381" i="9"/>
  <c r="D381" i="9"/>
  <c r="E380" i="9"/>
  <c r="D380" i="9"/>
  <c r="D379" i="9"/>
  <c r="E379" i="9" s="1"/>
  <c r="D378" i="9"/>
  <c r="E377" i="9"/>
  <c r="D377" i="9"/>
  <c r="D376" i="9"/>
  <c r="E376" i="9" s="1"/>
  <c r="D375" i="9"/>
  <c r="E374" i="9"/>
  <c r="D374" i="9"/>
  <c r="D373" i="9"/>
  <c r="E373" i="9" s="1"/>
  <c r="E372" i="9"/>
  <c r="D372" i="9"/>
  <c r="D371" i="9"/>
  <c r="D370" i="9"/>
  <c r="E369" i="9"/>
  <c r="D369" i="9"/>
  <c r="D368" i="9"/>
  <c r="E367" i="9"/>
  <c r="D367" i="9"/>
  <c r="E366" i="9"/>
  <c r="D366" i="9"/>
  <c r="E365" i="9"/>
  <c r="D365" i="9"/>
  <c r="E364" i="9"/>
  <c r="D364" i="9"/>
  <c r="E363" i="9"/>
  <c r="D363" i="9"/>
  <c r="E362" i="9"/>
  <c r="D362" i="9"/>
  <c r="E361" i="9"/>
  <c r="D361" i="9"/>
  <c r="D360" i="9"/>
  <c r="E359" i="9"/>
  <c r="D359" i="9"/>
  <c r="D358" i="9"/>
  <c r="D357" i="9"/>
  <c r="D356" i="9"/>
  <c r="E356" i="9" s="1"/>
  <c r="D355" i="9"/>
  <c r="E354" i="9"/>
  <c r="D354" i="9"/>
  <c r="D353" i="9"/>
  <c r="E353" i="9" s="1"/>
  <c r="D352" i="9"/>
  <c r="E351" i="9"/>
  <c r="D351" i="9"/>
  <c r="D350" i="9"/>
  <c r="E350" i="9" s="1"/>
  <c r="D349" i="9"/>
  <c r="E348" i="9"/>
  <c r="D348" i="9"/>
  <c r="D347" i="9"/>
  <c r="D346" i="9"/>
  <c r="E345" i="9"/>
  <c r="D345" i="9"/>
  <c r="E344" i="9"/>
  <c r="D344" i="9"/>
  <c r="E343" i="9"/>
  <c r="D343" i="9"/>
  <c r="E342" i="9"/>
  <c r="D342" i="9"/>
  <c r="E341" i="9"/>
  <c r="D341" i="9"/>
  <c r="D340" i="9"/>
  <c r="E340" i="9" s="1"/>
  <c r="D339" i="9"/>
  <c r="E339" i="9" s="1"/>
  <c r="D338" i="9"/>
  <c r="D337" i="9"/>
  <c r="E337" i="9" s="1"/>
  <c r="D336" i="9"/>
  <c r="E335" i="9"/>
  <c r="D335" i="9"/>
  <c r="E334" i="9"/>
  <c r="D334" i="9"/>
  <c r="E333" i="9"/>
  <c r="D333" i="9"/>
  <c r="D332" i="9"/>
  <c r="E331" i="9"/>
  <c r="D331" i="9"/>
  <c r="D330" i="9"/>
  <c r="E329" i="9"/>
  <c r="D329" i="9"/>
  <c r="E328" i="9"/>
  <c r="D328" i="9"/>
  <c r="D327" i="9"/>
  <c r="E327" i="9" s="1"/>
  <c r="E326" i="9"/>
  <c r="D326" i="9"/>
  <c r="E325" i="9"/>
  <c r="D325" i="9"/>
  <c r="E324" i="9"/>
  <c r="D324" i="9"/>
  <c r="D323" i="9"/>
  <c r="E323" i="9" s="1"/>
  <c r="D322" i="9"/>
  <c r="E322" i="9" s="1"/>
  <c r="E321" i="9"/>
  <c r="D321" i="9"/>
  <c r="D320" i="9"/>
  <c r="D319" i="9"/>
  <c r="E319" i="9" s="1"/>
  <c r="E318" i="9"/>
  <c r="D318" i="9"/>
  <c r="D317" i="9"/>
  <c r="D316" i="9"/>
  <c r="E316" i="9" s="1"/>
  <c r="E315" i="9"/>
  <c r="D315" i="9"/>
  <c r="D314" i="9"/>
  <c r="D313" i="9"/>
  <c r="D312" i="9"/>
  <c r="E312" i="9" s="1"/>
  <c r="E311" i="9"/>
  <c r="D311" i="9"/>
  <c r="D310" i="9"/>
  <c r="E310" i="9" s="1"/>
  <c r="D309" i="9"/>
  <c r="E308" i="9"/>
  <c r="D308" i="9"/>
  <c r="D307" i="9"/>
  <c r="E306" i="9"/>
  <c r="D306" i="9"/>
  <c r="D305" i="9"/>
  <c r="D304" i="9"/>
  <c r="E304" i="9" s="1"/>
  <c r="E303" i="9"/>
  <c r="D303" i="9"/>
  <c r="D302" i="9"/>
  <c r="E302" i="9" s="1"/>
  <c r="D301" i="9"/>
  <c r="E300" i="9"/>
  <c r="D300" i="9"/>
  <c r="D299" i="9"/>
  <c r="E299" i="9" s="1"/>
  <c r="D298" i="9"/>
  <c r="E298" i="9" s="1"/>
  <c r="E297" i="9"/>
  <c r="D297" i="9"/>
  <c r="D296" i="9"/>
  <c r="D295" i="9"/>
  <c r="D294" i="9"/>
  <c r="E293" i="9"/>
  <c r="D293" i="9"/>
  <c r="D292" i="9"/>
  <c r="E291" i="9"/>
  <c r="D291" i="9"/>
  <c r="E290" i="9"/>
  <c r="D290" i="9"/>
  <c r="E289" i="9"/>
  <c r="D289" i="9"/>
  <c r="D288" i="9"/>
  <c r="D287" i="9"/>
  <c r="E287" i="9" s="1"/>
  <c r="D286" i="9"/>
  <c r="E285" i="9"/>
  <c r="D285" i="9"/>
  <c r="D284" i="9"/>
  <c r="D283" i="9"/>
  <c r="E283" i="9" s="1"/>
  <c r="D282" i="9"/>
  <c r="D281" i="9"/>
  <c r="E281" i="9" s="1"/>
  <c r="D280" i="9"/>
  <c r="E280" i="9" s="1"/>
  <c r="D279" i="9"/>
  <c r="E278" i="9"/>
  <c r="D278" i="9"/>
  <c r="D277" i="9"/>
  <c r="E277" i="9" s="1"/>
  <c r="D276" i="9"/>
  <c r="E275" i="9"/>
  <c r="D275" i="9"/>
  <c r="E274" i="9"/>
  <c r="D274" i="9"/>
  <c r="E273" i="9"/>
  <c r="D273" i="9"/>
  <c r="D272" i="9"/>
  <c r="D271" i="9"/>
  <c r="E270" i="9"/>
  <c r="D270" i="9"/>
  <c r="E269" i="9"/>
  <c r="D269" i="9"/>
  <c r="D268" i="9"/>
  <c r="D267" i="9"/>
  <c r="D266" i="9"/>
  <c r="E265" i="9"/>
  <c r="D265" i="9"/>
  <c r="E264" i="9"/>
  <c r="D264" i="9"/>
  <c r="D263" i="9"/>
  <c r="D262" i="9"/>
  <c r="E262" i="9" s="1"/>
  <c r="D261" i="9"/>
  <c r="E260" i="9"/>
  <c r="D260" i="9"/>
  <c r="D259" i="9"/>
  <c r="D258" i="9"/>
  <c r="D257" i="9"/>
  <c r="D256" i="9"/>
  <c r="E256" i="9" s="1"/>
  <c r="E255" i="9"/>
  <c r="D255" i="9"/>
  <c r="D254" i="9"/>
  <c r="E254" i="9" s="1"/>
  <c r="E253" i="9"/>
  <c r="D253" i="9"/>
  <c r="D252" i="9"/>
  <c r="E251" i="9"/>
  <c r="D251" i="9"/>
  <c r="D250" i="9"/>
  <c r="E250" i="9" s="1"/>
  <c r="E249" i="9"/>
  <c r="D249" i="9"/>
  <c r="D248" i="9"/>
  <c r="E247" i="9"/>
  <c r="D247" i="9"/>
  <c r="D246" i="9"/>
  <c r="E246" i="9" s="1"/>
  <c r="D245" i="9"/>
  <c r="E245" i="9" s="1"/>
  <c r="E244" i="9"/>
  <c r="D244" i="9"/>
  <c r="D243" i="9"/>
  <c r="E242" i="9"/>
  <c r="D242" i="9"/>
  <c r="D241" i="9"/>
  <c r="D240" i="9"/>
  <c r="D239" i="9"/>
  <c r="D238" i="9"/>
  <c r="E238" i="9" s="1"/>
  <c r="E237" i="9"/>
  <c r="D237" i="9"/>
  <c r="D236" i="9"/>
  <c r="E236" i="9" s="1"/>
  <c r="D235" i="9"/>
  <c r="E235" i="9" s="1"/>
  <c r="E234" i="9"/>
  <c r="D234" i="9"/>
  <c r="D233" i="9"/>
  <c r="D232" i="9"/>
  <c r="E232" i="9" s="1"/>
  <c r="D231" i="9"/>
  <c r="E231" i="9" s="1"/>
  <c r="E230" i="9"/>
  <c r="D230" i="9"/>
  <c r="E229" i="9"/>
  <c r="D229" i="9"/>
  <c r="E228" i="9"/>
  <c r="D228" i="9"/>
  <c r="D227" i="9"/>
  <c r="D226" i="9"/>
  <c r="E225" i="9"/>
  <c r="D225" i="9"/>
  <c r="E224" i="9"/>
  <c r="D224" i="9"/>
  <c r="E223" i="9"/>
  <c r="D223" i="9"/>
  <c r="D222" i="9"/>
  <c r="D221" i="9"/>
  <c r="E221" i="9" s="1"/>
  <c r="D220" i="9"/>
  <c r="E219" i="9"/>
  <c r="D219" i="9"/>
  <c r="D218" i="9"/>
  <c r="E217" i="9"/>
  <c r="D217" i="9"/>
  <c r="D216" i="9"/>
  <c r="D215" i="9"/>
  <c r="E215" i="9" s="1"/>
  <c r="D214" i="9"/>
  <c r="E214" i="9" s="1"/>
  <c r="E213" i="9"/>
  <c r="D213" i="9"/>
  <c r="D212" i="9"/>
  <c r="E211" i="9"/>
  <c r="D211" i="9"/>
  <c r="E210" i="9"/>
  <c r="D210" i="9"/>
  <c r="D209" i="9"/>
  <c r="E209" i="9" s="1"/>
  <c r="E208" i="9"/>
  <c r="D208" i="9"/>
  <c r="D207" i="9"/>
  <c r="E206" i="9"/>
  <c r="D206" i="9"/>
  <c r="D205" i="9"/>
  <c r="D204" i="9"/>
  <c r="E203" i="9"/>
  <c r="D203" i="9"/>
  <c r="E202" i="9"/>
  <c r="D202" i="9"/>
  <c r="E201" i="9"/>
  <c r="D201" i="9"/>
  <c r="D200" i="9"/>
  <c r="E199" i="9"/>
  <c r="D199" i="9"/>
  <c r="D198" i="9"/>
  <c r="D197" i="9"/>
  <c r="D196" i="9"/>
  <c r="E195" i="9"/>
  <c r="D195" i="9"/>
  <c r="D194" i="9"/>
  <c r="E193" i="9"/>
  <c r="D193" i="9"/>
  <c r="E192" i="9"/>
  <c r="D192" i="9"/>
  <c r="D191" i="9"/>
  <c r="E191" i="9" s="1"/>
  <c r="D190" i="9"/>
  <c r="E189" i="9"/>
  <c r="D189" i="9"/>
  <c r="E188" i="9"/>
  <c r="D188" i="9"/>
  <c r="D187" i="9"/>
  <c r="E187" i="9" s="1"/>
  <c r="D186" i="9"/>
  <c r="D185" i="9"/>
  <c r="E184" i="9"/>
  <c r="D184" i="9"/>
  <c r="E183" i="9"/>
  <c r="D183" i="9"/>
  <c r="E182" i="9"/>
  <c r="D182" i="9"/>
  <c r="D181" i="9"/>
  <c r="D180" i="9"/>
  <c r="D179" i="9"/>
  <c r="D178" i="9"/>
  <c r="E178" i="9" s="1"/>
  <c r="D177" i="9"/>
  <c r="D176" i="9"/>
  <c r="E175" i="9"/>
  <c r="D175" i="9"/>
  <c r="D174" i="9"/>
  <c r="D173" i="9"/>
  <c r="E173" i="9" s="1"/>
  <c r="D172" i="9"/>
  <c r="E172" i="9" s="1"/>
  <c r="D171" i="9"/>
  <c r="E170" i="9"/>
  <c r="D170" i="9"/>
  <c r="D169" i="9"/>
  <c r="E169" i="9" s="1"/>
  <c r="D168" i="9"/>
  <c r="E167" i="9"/>
  <c r="D167" i="9"/>
  <c r="E166" i="9"/>
  <c r="D166" i="9"/>
  <c r="D165" i="9"/>
  <c r="E164" i="9"/>
  <c r="D164" i="9"/>
  <c r="D163" i="9"/>
  <c r="E162" i="9"/>
  <c r="D162" i="9"/>
  <c r="E161" i="9"/>
  <c r="D161" i="9"/>
  <c r="E160" i="9"/>
  <c r="D160" i="9"/>
  <c r="D159" i="9"/>
  <c r="E158" i="9"/>
  <c r="D158" i="9"/>
  <c r="D157" i="9"/>
  <c r="E156" i="9"/>
  <c r="D156" i="9"/>
  <c r="E155" i="9"/>
  <c r="D155" i="9"/>
  <c r="D154" i="9"/>
  <c r="E154" i="9" s="1"/>
  <c r="D153" i="9"/>
  <c r="E152" i="9"/>
  <c r="D152" i="9"/>
  <c r="E151" i="9"/>
  <c r="D151" i="9"/>
  <c r="E150" i="9"/>
  <c r="D150" i="9"/>
  <c r="E149" i="9"/>
  <c r="D149" i="9"/>
  <c r="D148" i="9"/>
  <c r="D147" i="9"/>
  <c r="D146" i="9"/>
  <c r="E146" i="9" s="1"/>
  <c r="D145" i="9"/>
  <c r="D144" i="9"/>
  <c r="E143" i="9"/>
  <c r="D143" i="9"/>
  <c r="D142" i="9"/>
  <c r="E141" i="9"/>
  <c r="D141" i="9"/>
  <c r="D140" i="9"/>
  <c r="D139" i="9"/>
  <c r="E139" i="9" s="1"/>
  <c r="D138" i="9"/>
  <c r="E138" i="9" s="1"/>
  <c r="E137" i="9"/>
  <c r="D137" i="9"/>
  <c r="E136" i="9"/>
  <c r="D136" i="9"/>
  <c r="D135" i="9"/>
  <c r="D134" i="9"/>
  <c r="D133" i="9"/>
  <c r="E133" i="9" s="1"/>
  <c r="D132" i="9"/>
  <c r="D131" i="9"/>
  <c r="E131" i="9" s="1"/>
  <c r="E130" i="9"/>
  <c r="D130" i="9"/>
  <c r="D129" i="9"/>
  <c r="E128" i="9"/>
  <c r="D128" i="9"/>
  <c r="E127" i="9"/>
  <c r="D127" i="9"/>
  <c r="E126" i="9"/>
  <c r="D126" i="9"/>
  <c r="D125" i="9"/>
  <c r="E124" i="9"/>
  <c r="D124" i="9"/>
  <c r="D123" i="9"/>
  <c r="D122" i="9"/>
  <c r="D121" i="9"/>
  <c r="E120" i="9"/>
  <c r="D120" i="9"/>
  <c r="D119" i="9"/>
  <c r="D118" i="9"/>
  <c r="E118" i="9" s="1"/>
  <c r="D117" i="9"/>
  <c r="D116" i="9"/>
  <c r="E116" i="9" s="1"/>
  <c r="E115" i="9"/>
  <c r="D115" i="9"/>
  <c r="D114" i="9"/>
  <c r="E113" i="9"/>
  <c r="D113" i="9"/>
  <c r="D112" i="9"/>
  <c r="D111" i="9"/>
  <c r="D110" i="9"/>
  <c r="E110" i="9" s="1"/>
  <c r="D109" i="9"/>
  <c r="D108" i="9"/>
  <c r="E107" i="9"/>
  <c r="D107" i="9"/>
  <c r="D106" i="9"/>
  <c r="E105" i="9"/>
  <c r="D105" i="9"/>
  <c r="E104" i="9"/>
  <c r="D104" i="9"/>
  <c r="D103" i="9"/>
  <c r="E103" i="9" s="1"/>
  <c r="D102" i="9"/>
  <c r="E101" i="9"/>
  <c r="D101" i="9"/>
  <c r="E100" i="9"/>
  <c r="D100" i="9"/>
  <c r="D99" i="9"/>
  <c r="D98" i="9"/>
  <c r="D97" i="9"/>
  <c r="E97" i="9" s="1"/>
  <c r="D96" i="9"/>
  <c r="D95" i="9"/>
  <c r="E95" i="9" s="1"/>
  <c r="E94" i="9"/>
  <c r="D94" i="9"/>
  <c r="D93" i="9"/>
  <c r="E92" i="9"/>
  <c r="D92" i="9"/>
  <c r="D91" i="9"/>
  <c r="E91" i="9" s="1"/>
  <c r="E90" i="9"/>
  <c r="D90" i="9"/>
  <c r="E89" i="9"/>
  <c r="D89" i="9"/>
  <c r="E88" i="9"/>
  <c r="D88" i="9"/>
  <c r="D87" i="9"/>
  <c r="E86" i="9"/>
  <c r="D86" i="9"/>
  <c r="D85" i="9"/>
  <c r="E84" i="9"/>
  <c r="D84" i="9"/>
  <c r="D83" i="9"/>
  <c r="D82" i="9"/>
  <c r="E82" i="9" s="1"/>
  <c r="E81" i="9"/>
  <c r="D81" i="9"/>
  <c r="D80" i="9"/>
  <c r="E80" i="9" s="1"/>
  <c r="E79" i="9"/>
  <c r="D79" i="9"/>
  <c r="D78" i="9"/>
  <c r="E77" i="9"/>
  <c r="D77" i="9"/>
  <c r="E76" i="9"/>
  <c r="D76" i="9"/>
  <c r="D75" i="9"/>
  <c r="D74" i="9"/>
  <c r="E74" i="9" s="1"/>
  <c r="D73" i="9"/>
  <c r="D72" i="9"/>
  <c r="E71" i="9"/>
  <c r="D71" i="9"/>
  <c r="D70" i="9"/>
  <c r="D69" i="9"/>
  <c r="E69" i="9" s="1"/>
  <c r="E68" i="9"/>
  <c r="D68" i="9"/>
  <c r="D67" i="9"/>
  <c r="D66" i="9"/>
  <c r="E66" i="9" s="1"/>
  <c r="E65" i="9"/>
  <c r="D65" i="9"/>
  <c r="D64" i="9"/>
  <c r="D63" i="9"/>
  <c r="E63" i="9" s="1"/>
  <c r="E62" i="9"/>
  <c r="D62" i="9"/>
  <c r="D61" i="9"/>
  <c r="D60" i="9"/>
  <c r="E60" i="9" s="1"/>
  <c r="E59" i="9"/>
  <c r="D59" i="9"/>
  <c r="D58" i="9"/>
  <c r="D57" i="9"/>
  <c r="E57" i="9" s="1"/>
  <c r="E56" i="9"/>
  <c r="D56" i="9"/>
  <c r="D55" i="9"/>
  <c r="D54" i="9"/>
  <c r="E54" i="9" s="1"/>
  <c r="E53" i="9"/>
  <c r="D53" i="9"/>
  <c r="D52" i="9"/>
  <c r="D51" i="9"/>
  <c r="E51" i="9" s="1"/>
  <c r="E50" i="9"/>
  <c r="D50" i="9"/>
  <c r="D49" i="9"/>
  <c r="D48" i="9"/>
  <c r="E48" i="9" s="1"/>
  <c r="E47" i="9"/>
  <c r="D47" i="9"/>
  <c r="D46" i="9"/>
  <c r="D45" i="9"/>
  <c r="E45" i="9" s="1"/>
  <c r="E44" i="9"/>
  <c r="D44" i="9"/>
  <c r="D43" i="9"/>
  <c r="D42" i="9"/>
  <c r="E42" i="9" s="1"/>
  <c r="E41" i="9"/>
  <c r="D41" i="9"/>
  <c r="D40" i="9"/>
  <c r="D39" i="9"/>
  <c r="E39" i="9" s="1"/>
  <c r="E38" i="9"/>
  <c r="D38" i="9"/>
  <c r="D37" i="9"/>
  <c r="D36" i="9"/>
  <c r="E36" i="9" s="1"/>
  <c r="E35" i="9"/>
  <c r="D35" i="9"/>
  <c r="D34" i="9"/>
  <c r="D33" i="9"/>
  <c r="E33" i="9" s="1"/>
  <c r="E32" i="9"/>
  <c r="D32" i="9"/>
  <c r="D31" i="9"/>
  <c r="D30" i="9"/>
  <c r="E30" i="9" s="1"/>
  <c r="E29" i="9"/>
  <c r="D29" i="9"/>
  <c r="D28" i="9"/>
  <c r="D27" i="9"/>
  <c r="E27" i="9" s="1"/>
  <c r="E26" i="9"/>
  <c r="D26" i="9"/>
  <c r="D25" i="9"/>
  <c r="D24" i="9"/>
  <c r="E24" i="9" s="1"/>
  <c r="E23" i="9"/>
  <c r="D23" i="9"/>
  <c r="D22" i="9"/>
  <c r="D21" i="9"/>
  <c r="E21" i="9" s="1"/>
  <c r="E20" i="9"/>
  <c r="D20" i="9"/>
  <c r="D19" i="9"/>
  <c r="D18" i="9"/>
  <c r="E18" i="9" s="1"/>
  <c r="E17" i="9"/>
  <c r="D17" i="9"/>
  <c r="D16" i="9"/>
  <c r="D15" i="9"/>
  <c r="E15" i="9" s="1"/>
  <c r="E14" i="9"/>
  <c r="D14" i="9"/>
  <c r="D13" i="9"/>
  <c r="D12" i="9"/>
  <c r="E12" i="9" s="1"/>
  <c r="E11" i="9"/>
  <c r="D11" i="9"/>
  <c r="D10" i="9"/>
  <c r="D9" i="9"/>
  <c r="E9" i="9" s="1"/>
  <c r="D8" i="9"/>
  <c r="E8" i="9" s="1"/>
  <c r="D7" i="9"/>
  <c r="D6" i="9"/>
  <c r="E6" i="9" s="1"/>
  <c r="D5" i="9"/>
  <c r="E5" i="9" s="1"/>
  <c r="D4" i="9"/>
  <c r="D3" i="9"/>
  <c r="E3" i="9" s="1"/>
  <c r="E2" i="9"/>
  <c r="D2" i="9"/>
  <c r="C234" i="5"/>
  <c r="B234" i="5"/>
  <c r="D386" i="5"/>
  <c r="E386" i="5" s="1"/>
  <c r="D438" i="5"/>
  <c r="E438" i="5" s="1"/>
  <c r="D21" i="5"/>
  <c r="E21" i="5" s="1"/>
  <c r="D246" i="5"/>
  <c r="E246" i="5" s="1"/>
  <c r="D113" i="5"/>
  <c r="E113" i="5" s="1"/>
  <c r="D51" i="5"/>
  <c r="E51" i="5" s="1"/>
  <c r="D75" i="5"/>
  <c r="E75" i="5" s="1"/>
  <c r="D65" i="5"/>
  <c r="E65" i="5" s="1"/>
  <c r="D26" i="5"/>
  <c r="E26" i="5" s="1"/>
  <c r="D115" i="5"/>
  <c r="E115" i="5" s="1"/>
  <c r="D344" i="5"/>
  <c r="E344" i="5" s="1"/>
  <c r="D194" i="5"/>
  <c r="E194" i="5" s="1"/>
  <c r="D42" i="5"/>
  <c r="E42" i="5" s="1"/>
  <c r="D462" i="5"/>
  <c r="E462" i="5" s="1"/>
  <c r="D257" i="5"/>
  <c r="E257" i="5" s="1"/>
  <c r="D517" i="5"/>
  <c r="E517" i="5" s="1"/>
  <c r="D70" i="5"/>
  <c r="E70" i="5" s="1"/>
  <c r="D58" i="5"/>
  <c r="E58" i="5" s="1"/>
  <c r="D133" i="5"/>
  <c r="E133" i="5" s="1"/>
  <c r="D523" i="5"/>
  <c r="E523" i="5" s="1"/>
  <c r="D404" i="5"/>
  <c r="E404" i="5" s="1"/>
  <c r="D50" i="5"/>
  <c r="E50" i="5" s="1"/>
  <c r="D502" i="5"/>
  <c r="E502" i="5" s="1"/>
  <c r="D398" i="5"/>
  <c r="E398" i="5" s="1"/>
  <c r="D527" i="5"/>
  <c r="E527" i="5" s="1"/>
  <c r="D165" i="5"/>
  <c r="E165" i="5" s="1"/>
  <c r="D150" i="5"/>
  <c r="E150" i="5" s="1"/>
  <c r="D329" i="5"/>
  <c r="E329" i="5" s="1"/>
  <c r="D248" i="5"/>
  <c r="E248" i="5" s="1"/>
  <c r="D410" i="5"/>
  <c r="E410" i="5" s="1"/>
  <c r="D491" i="5"/>
  <c r="E491" i="5" s="1"/>
  <c r="D483" i="5"/>
  <c r="E483" i="5" s="1"/>
  <c r="D321" i="5"/>
  <c r="E321" i="5" s="1"/>
  <c r="D509" i="5"/>
  <c r="E509" i="5" s="1"/>
  <c r="D412" i="5"/>
  <c r="E412" i="5" s="1"/>
  <c r="D239" i="5"/>
  <c r="E239" i="5" s="1"/>
  <c r="D394" i="5"/>
  <c r="E394" i="5" s="1"/>
  <c r="D324" i="5"/>
  <c r="E324" i="5" s="1"/>
  <c r="D22" i="5"/>
  <c r="E22" i="5" s="1"/>
  <c r="D117" i="5"/>
  <c r="E117" i="5" s="1"/>
  <c r="D463" i="5"/>
  <c r="E463" i="5" s="1"/>
  <c r="D366" i="5"/>
  <c r="E366" i="5" s="1"/>
  <c r="D225" i="5"/>
  <c r="E225" i="5" s="1"/>
  <c r="D356" i="5"/>
  <c r="E356" i="5" s="1"/>
  <c r="D442" i="5"/>
  <c r="E442" i="5" s="1"/>
  <c r="D195" i="5"/>
  <c r="E195" i="5" s="1"/>
  <c r="D143" i="5"/>
  <c r="E143" i="5" s="1"/>
  <c r="D327" i="5"/>
  <c r="E327" i="5" s="1"/>
  <c r="D260" i="5"/>
  <c r="E260" i="5" s="1"/>
  <c r="D155" i="5"/>
  <c r="E155" i="5" s="1"/>
  <c r="D379" i="5"/>
  <c r="E379" i="5" s="1"/>
  <c r="D13" i="5"/>
  <c r="E13" i="5" s="1"/>
  <c r="D537" i="5"/>
  <c r="E537" i="5" s="1"/>
  <c r="D535" i="5"/>
  <c r="E535" i="5" s="1"/>
  <c r="D365" i="5"/>
  <c r="E365" i="5" s="1"/>
  <c r="D538" i="5"/>
  <c r="E538" i="5" s="1"/>
  <c r="D396" i="5"/>
  <c r="E396" i="5" s="1"/>
  <c r="D59" i="5"/>
  <c r="E59" i="5" s="1"/>
  <c r="D7" i="5"/>
  <c r="E7" i="5" s="1"/>
  <c r="D210" i="5"/>
  <c r="E210" i="5" s="1"/>
  <c r="D534" i="5"/>
  <c r="E534" i="5" s="1"/>
  <c r="D532" i="5"/>
  <c r="E532" i="5" s="1"/>
  <c r="D156" i="5"/>
  <c r="E156" i="5" s="1"/>
  <c r="D79" i="5"/>
  <c r="E79" i="5" s="1"/>
  <c r="D120" i="5"/>
  <c r="E120" i="5" s="1"/>
  <c r="D9" i="5"/>
  <c r="E9" i="5" s="1"/>
  <c r="D23" i="5"/>
  <c r="E23" i="5" s="1"/>
  <c r="D16" i="5"/>
  <c r="E16" i="5" s="1"/>
  <c r="D19" i="5"/>
  <c r="E19" i="5" s="1"/>
  <c r="D131" i="5"/>
  <c r="E131" i="5" s="1"/>
  <c r="D468" i="5"/>
  <c r="E468" i="5" s="1"/>
  <c r="D531" i="5"/>
  <c r="E531" i="5" s="1"/>
  <c r="D475" i="5"/>
  <c r="E475" i="5" s="1"/>
  <c r="D56" i="5"/>
  <c r="E56" i="5" s="1"/>
  <c r="D460" i="5"/>
  <c r="E460" i="5" s="1"/>
  <c r="D385" i="5"/>
  <c r="E385" i="5" s="1"/>
  <c r="D209" i="5"/>
  <c r="E209" i="5" s="1"/>
  <c r="D477" i="5"/>
  <c r="E477" i="5" s="1"/>
  <c r="D459" i="5"/>
  <c r="E459" i="5" s="1"/>
  <c r="D126" i="5"/>
  <c r="E126" i="5" s="1"/>
  <c r="D464" i="5"/>
  <c r="E464" i="5" s="1"/>
  <c r="D104" i="5"/>
  <c r="E104" i="5" s="1"/>
  <c r="D17" i="5"/>
  <c r="E17" i="5" s="1"/>
  <c r="D15" i="5"/>
  <c r="E15" i="5" s="1"/>
  <c r="D456" i="5"/>
  <c r="E456" i="5" s="1"/>
  <c r="D172" i="5"/>
  <c r="E172" i="5" s="1"/>
  <c r="D275" i="5"/>
  <c r="E275" i="5" s="1"/>
  <c r="D453" i="5"/>
  <c r="E453" i="5" s="1"/>
  <c r="D135" i="5"/>
  <c r="E135" i="5" s="1"/>
  <c r="D529" i="5"/>
  <c r="E529" i="5" s="1"/>
  <c r="D81" i="5"/>
  <c r="E81" i="5" s="1"/>
  <c r="D174" i="5"/>
  <c r="E174" i="5" s="1"/>
  <c r="D414" i="5"/>
  <c r="E414" i="5" s="1"/>
  <c r="D411" i="5"/>
  <c r="E411" i="5" s="1"/>
  <c r="D6" i="5"/>
  <c r="E6" i="5" s="1"/>
  <c r="D41" i="5"/>
  <c r="E41" i="5" s="1"/>
  <c r="D86" i="5"/>
  <c r="E86" i="5" s="1"/>
  <c r="D189" i="5"/>
  <c r="E189" i="5" s="1"/>
  <c r="D193" i="5"/>
  <c r="E193" i="5" s="1"/>
  <c r="D259" i="5"/>
  <c r="E259" i="5" s="1"/>
  <c r="D290" i="5"/>
  <c r="E290" i="5" s="1"/>
  <c r="D220" i="5"/>
  <c r="E220" i="5" s="1"/>
  <c r="D408" i="5"/>
  <c r="E408" i="5" s="1"/>
  <c r="D323" i="5"/>
  <c r="E323" i="5" s="1"/>
  <c r="D318" i="5"/>
  <c r="E318" i="5" s="1"/>
  <c r="D341" i="5"/>
  <c r="E341" i="5" s="1"/>
  <c r="D91" i="5"/>
  <c r="E91" i="5" s="1"/>
  <c r="D97" i="5"/>
  <c r="E97" i="5" s="1"/>
  <c r="D526" i="5"/>
  <c r="E526" i="5" s="1"/>
  <c r="D43" i="5"/>
  <c r="E43" i="5" s="1"/>
  <c r="D458" i="5"/>
  <c r="E458" i="5" s="1"/>
  <c r="D539" i="5"/>
  <c r="E539" i="5" s="1"/>
  <c r="D24" i="5"/>
  <c r="E24" i="5" s="1"/>
  <c r="D137" i="5"/>
  <c r="E137" i="5" s="1"/>
  <c r="D436" i="5"/>
  <c r="E436" i="5" s="1"/>
  <c r="D147" i="5"/>
  <c r="E147" i="5" s="1"/>
  <c r="D179" i="5"/>
  <c r="E179" i="5" s="1"/>
  <c r="D221" i="5"/>
  <c r="E221" i="5" s="1"/>
  <c r="D522" i="5"/>
  <c r="E522" i="5" s="1"/>
  <c r="D497" i="5"/>
  <c r="E497" i="5" s="1"/>
  <c r="D511" i="5"/>
  <c r="E511" i="5" s="1"/>
  <c r="D63" i="5"/>
  <c r="E63" i="5" s="1"/>
  <c r="D231" i="5"/>
  <c r="E231" i="5" s="1"/>
  <c r="D178" i="5"/>
  <c r="E178" i="5" s="1"/>
  <c r="D20" i="5"/>
  <c r="E20" i="5" s="1"/>
  <c r="D378" i="5"/>
  <c r="E378" i="5" s="1"/>
  <c r="D524" i="5"/>
  <c r="E524" i="5" s="1"/>
  <c r="D530" i="5"/>
  <c r="E530" i="5" s="1"/>
  <c r="D351" i="5"/>
  <c r="E351" i="5" s="1"/>
  <c r="D222" i="5"/>
  <c r="E222" i="5" s="1"/>
  <c r="D60" i="5"/>
  <c r="E60" i="5" s="1"/>
  <c r="D36" i="5"/>
  <c r="E36" i="5" s="1"/>
  <c r="D435" i="5"/>
  <c r="E435" i="5" s="1"/>
  <c r="D25" i="5"/>
  <c r="E25" i="5" s="1"/>
  <c r="D515" i="5"/>
  <c r="E515" i="5" s="1"/>
  <c r="D506" i="5"/>
  <c r="E506" i="5" s="1"/>
  <c r="D510" i="5"/>
  <c r="E510" i="5" s="1"/>
  <c r="D187" i="5"/>
  <c r="E187" i="5" s="1"/>
  <c r="D441" i="5"/>
  <c r="E441" i="5" s="1"/>
  <c r="D339" i="5"/>
  <c r="E339" i="5" s="1"/>
  <c r="D265" i="5"/>
  <c r="E265" i="5" s="1"/>
  <c r="D307" i="5"/>
  <c r="E307" i="5" s="1"/>
  <c r="D196" i="5"/>
  <c r="E196" i="5" s="1"/>
  <c r="D228" i="5"/>
  <c r="E228" i="5" s="1"/>
  <c r="D521" i="5"/>
  <c r="E521" i="5" s="1"/>
  <c r="D241" i="5"/>
  <c r="E241" i="5" s="1"/>
  <c r="D325" i="5"/>
  <c r="E325" i="5" s="1"/>
  <c r="D53" i="5"/>
  <c r="E53" i="5" s="1"/>
  <c r="D152" i="5"/>
  <c r="E152" i="5" s="1"/>
  <c r="D330" i="5"/>
  <c r="E330" i="5" s="1"/>
  <c r="D32" i="5"/>
  <c r="E32" i="5" s="1"/>
  <c r="D293" i="5"/>
  <c r="E293" i="5" s="1"/>
  <c r="D68" i="5"/>
  <c r="E68" i="5" s="1"/>
  <c r="D213" i="5"/>
  <c r="E213" i="5" s="1"/>
  <c r="D134" i="5"/>
  <c r="E134" i="5" s="1"/>
  <c r="D103" i="5"/>
  <c r="E103" i="5" s="1"/>
  <c r="D121" i="5"/>
  <c r="E121" i="5" s="1"/>
  <c r="D374" i="5"/>
  <c r="E374" i="5" s="1"/>
  <c r="D388" i="5"/>
  <c r="E388" i="5" s="1"/>
  <c r="D336" i="5"/>
  <c r="E336" i="5" s="1"/>
  <c r="D251" i="5"/>
  <c r="E251" i="5" s="1"/>
  <c r="D14" i="5"/>
  <c r="E14" i="5" s="1"/>
  <c r="D409" i="5"/>
  <c r="E409" i="5" s="1"/>
  <c r="D12" i="5"/>
  <c r="E12" i="5" s="1"/>
  <c r="D48" i="5"/>
  <c r="E48" i="5" s="1"/>
  <c r="D518" i="5"/>
  <c r="E518" i="5" s="1"/>
  <c r="D84" i="5"/>
  <c r="E84" i="5" s="1"/>
  <c r="D176" i="5"/>
  <c r="E176" i="5" s="1"/>
  <c r="D376" i="5"/>
  <c r="E376" i="5" s="1"/>
  <c r="D513" i="5"/>
  <c r="E513" i="5" s="1"/>
  <c r="D240" i="5"/>
  <c r="E240" i="5" s="1"/>
  <c r="D149" i="5"/>
  <c r="E149" i="5" s="1"/>
  <c r="D229" i="5"/>
  <c r="E229" i="5" s="1"/>
  <c r="D512" i="5"/>
  <c r="E512" i="5" s="1"/>
  <c r="D52" i="5"/>
  <c r="E52" i="5" s="1"/>
  <c r="D399" i="5"/>
  <c r="E399" i="5" s="1"/>
  <c r="D310" i="5"/>
  <c r="E310" i="5" s="1"/>
  <c r="D514" i="5"/>
  <c r="E514" i="5" s="1"/>
  <c r="D30" i="5"/>
  <c r="E30" i="5" s="1"/>
  <c r="D69" i="5"/>
  <c r="E69" i="5" s="1"/>
  <c r="D177" i="5"/>
  <c r="E177" i="5" s="1"/>
  <c r="D112" i="5"/>
  <c r="E112" i="5" s="1"/>
  <c r="D8" i="5"/>
  <c r="E8" i="5" s="1"/>
  <c r="D508" i="5"/>
  <c r="E508" i="5" s="1"/>
  <c r="D419" i="5"/>
  <c r="E419" i="5" s="1"/>
  <c r="D139" i="5"/>
  <c r="E139" i="5" s="1"/>
  <c r="D286" i="5"/>
  <c r="E286" i="5" s="1"/>
  <c r="D138" i="5"/>
  <c r="E138" i="5" s="1"/>
  <c r="D485" i="5"/>
  <c r="E485" i="5" s="1"/>
  <c r="D215" i="5"/>
  <c r="E215" i="5" s="1"/>
  <c r="D525" i="5"/>
  <c r="E525" i="5" s="1"/>
  <c r="D504" i="5"/>
  <c r="E504" i="5" s="1"/>
  <c r="D169" i="5"/>
  <c r="E169" i="5" s="1"/>
  <c r="D62" i="5"/>
  <c r="E62" i="5" s="1"/>
  <c r="D5" i="5"/>
  <c r="E5" i="5" s="1"/>
  <c r="D55" i="5"/>
  <c r="E55" i="5" s="1"/>
  <c r="D162" i="5"/>
  <c r="E162" i="5" s="1"/>
  <c r="D49" i="5"/>
  <c r="E49" i="5" s="1"/>
  <c r="D417" i="5"/>
  <c r="E417" i="5" s="1"/>
  <c r="D207" i="5"/>
  <c r="E207" i="5" s="1"/>
  <c r="D268" i="5"/>
  <c r="E268" i="5" s="1"/>
  <c r="D11" i="5"/>
  <c r="E11" i="5" s="1"/>
  <c r="D102" i="5"/>
  <c r="E102" i="5" s="1"/>
  <c r="D423" i="5"/>
  <c r="E423" i="5" s="1"/>
  <c r="D430" i="5"/>
  <c r="E430" i="5" s="1"/>
  <c r="D466" i="5"/>
  <c r="E466" i="5" s="1"/>
  <c r="D198" i="5"/>
  <c r="E198" i="5" s="1"/>
  <c r="D389" i="5"/>
  <c r="E389" i="5" s="1"/>
  <c r="D317" i="5"/>
  <c r="E317" i="5" s="1"/>
  <c r="D129" i="5"/>
  <c r="E129" i="5" s="1"/>
  <c r="D148" i="5"/>
  <c r="E148" i="5" s="1"/>
  <c r="D434" i="5"/>
  <c r="E434" i="5" s="1"/>
  <c r="D109" i="5"/>
  <c r="E109" i="5" s="1"/>
  <c r="D331" i="5"/>
  <c r="E331" i="5" s="1"/>
  <c r="D284" i="5"/>
  <c r="E284" i="5" s="1"/>
  <c r="D302" i="5"/>
  <c r="E302" i="5" s="1"/>
  <c r="D82" i="5"/>
  <c r="E82" i="5" s="1"/>
  <c r="D29" i="5"/>
  <c r="E29" i="5" s="1"/>
  <c r="D340" i="5"/>
  <c r="E340" i="5" s="1"/>
  <c r="D170" i="5"/>
  <c r="E170" i="5" s="1"/>
  <c r="D392" i="5"/>
  <c r="E392" i="5" s="1"/>
  <c r="D350" i="5"/>
  <c r="E350" i="5" s="1"/>
  <c r="D160" i="5"/>
  <c r="E160" i="5" s="1"/>
  <c r="D99" i="5"/>
  <c r="E99" i="5" s="1"/>
  <c r="D110" i="5"/>
  <c r="E110" i="5" s="1"/>
  <c r="D278" i="5"/>
  <c r="E278" i="5" s="1"/>
  <c r="D10" i="5"/>
  <c r="E10" i="5" s="1"/>
  <c r="D141" i="5"/>
  <c r="E141" i="5" s="1"/>
  <c r="D319" i="5"/>
  <c r="E319" i="5" s="1"/>
  <c r="D44" i="5"/>
  <c r="E44" i="5" s="1"/>
  <c r="D361" i="5"/>
  <c r="E361" i="5" s="1"/>
  <c r="D304" i="5"/>
  <c r="E304" i="5" s="1"/>
  <c r="D370" i="5"/>
  <c r="E370" i="5" s="1"/>
  <c r="D34" i="5"/>
  <c r="E34" i="5" s="1"/>
  <c r="D377" i="5"/>
  <c r="E377" i="5" s="1"/>
  <c r="D492" i="5"/>
  <c r="E492" i="5" s="1"/>
  <c r="D249" i="5"/>
  <c r="E249" i="5" s="1"/>
  <c r="D218" i="5"/>
  <c r="E218" i="5" s="1"/>
  <c r="D253" i="5"/>
  <c r="E253" i="5" s="1"/>
  <c r="D77" i="5"/>
  <c r="E77" i="5" s="1"/>
  <c r="D64" i="5"/>
  <c r="E64" i="5" s="1"/>
  <c r="D480" i="5"/>
  <c r="E480" i="5" s="1"/>
  <c r="D106" i="5"/>
  <c r="E106" i="5" s="1"/>
  <c r="D500" i="5"/>
  <c r="E500" i="5" s="1"/>
  <c r="D277" i="5"/>
  <c r="E277" i="5" s="1"/>
  <c r="D280" i="5"/>
  <c r="E280" i="5" s="1"/>
  <c r="D347" i="5"/>
  <c r="E347" i="5" s="1"/>
  <c r="D114" i="5"/>
  <c r="E114" i="5" s="1"/>
  <c r="D326" i="5"/>
  <c r="E326" i="5" s="1"/>
  <c r="D108" i="5"/>
  <c r="E108" i="5" s="1"/>
  <c r="D474" i="5"/>
  <c r="E474" i="5" s="1"/>
  <c r="D375" i="5"/>
  <c r="E375" i="5" s="1"/>
  <c r="D45" i="5"/>
  <c r="E45" i="5" s="1"/>
  <c r="D142" i="5"/>
  <c r="E142" i="5" s="1"/>
  <c r="D98" i="5"/>
  <c r="E98" i="5" s="1"/>
  <c r="D66" i="5"/>
  <c r="E66" i="5" s="1"/>
  <c r="D393" i="5"/>
  <c r="E393" i="5" s="1"/>
  <c r="D89" i="5"/>
  <c r="E89" i="5" s="1"/>
  <c r="D357" i="5"/>
  <c r="E357" i="5" s="1"/>
  <c r="D495" i="5"/>
  <c r="E495" i="5" s="1"/>
  <c r="D183" i="5"/>
  <c r="E183" i="5" s="1"/>
  <c r="D164" i="5"/>
  <c r="E164" i="5" s="1"/>
  <c r="D67" i="5"/>
  <c r="E67" i="5" s="1"/>
  <c r="D439" i="5"/>
  <c r="E439" i="5" s="1"/>
  <c r="D47" i="5"/>
  <c r="E47" i="5" s="1"/>
  <c r="D40" i="5"/>
  <c r="E40" i="5" s="1"/>
  <c r="D486" i="5"/>
  <c r="E486" i="5" s="1"/>
  <c r="D54" i="5"/>
  <c r="E54" i="5" s="1"/>
  <c r="D78" i="5"/>
  <c r="E78" i="5" s="1"/>
  <c r="D528" i="5"/>
  <c r="E528" i="5" s="1"/>
  <c r="D476" i="5"/>
  <c r="E476" i="5" s="1"/>
  <c r="D415" i="5"/>
  <c r="E415" i="5" s="1"/>
  <c r="D440" i="5"/>
  <c r="E440" i="5" s="1"/>
  <c r="D31" i="5"/>
  <c r="E31" i="5" s="1"/>
  <c r="D505" i="5"/>
  <c r="E505" i="5" s="1"/>
  <c r="D57" i="5"/>
  <c r="E57" i="5" s="1"/>
  <c r="D309" i="5"/>
  <c r="E309" i="5" s="1"/>
  <c r="D359" i="5"/>
  <c r="E359" i="5" s="1"/>
  <c r="D94" i="5"/>
  <c r="E94" i="5" s="1"/>
  <c r="D80" i="5"/>
  <c r="E80" i="5" s="1"/>
  <c r="D499" i="5"/>
  <c r="E499" i="5" s="1"/>
  <c r="D39" i="5"/>
  <c r="E39" i="5" s="1"/>
  <c r="D358" i="5"/>
  <c r="E358" i="5" s="1"/>
  <c r="D116" i="5"/>
  <c r="E116" i="5" s="1"/>
  <c r="D426" i="5"/>
  <c r="E426" i="5" s="1"/>
  <c r="D237" i="5"/>
  <c r="E237" i="5" s="1"/>
  <c r="D180" i="5"/>
  <c r="E180" i="5" s="1"/>
  <c r="D208" i="5"/>
  <c r="E208" i="5" s="1"/>
  <c r="D287" i="5"/>
  <c r="E287" i="5" s="1"/>
  <c r="D258" i="5"/>
  <c r="E258" i="5" s="1"/>
  <c r="D300" i="5"/>
  <c r="E300" i="5" s="1"/>
  <c r="D345" i="5"/>
  <c r="E345" i="5" s="1"/>
  <c r="D230" i="5"/>
  <c r="E230" i="5" s="1"/>
  <c r="D18" i="5"/>
  <c r="E18" i="5" s="1"/>
  <c r="D482" i="5"/>
  <c r="E482" i="5" s="1"/>
  <c r="D205" i="5"/>
  <c r="E205" i="5" s="1"/>
  <c r="D83" i="5"/>
  <c r="E83" i="5" s="1"/>
  <c r="D519" i="5"/>
  <c r="E519" i="5" s="1"/>
  <c r="D533" i="5"/>
  <c r="E533" i="5" s="1"/>
  <c r="D61" i="5"/>
  <c r="E61" i="5" s="1"/>
  <c r="D320" i="5"/>
  <c r="E320" i="5" s="1"/>
  <c r="D353" i="5"/>
  <c r="E353" i="5" s="1"/>
  <c r="D451" i="5"/>
  <c r="E451" i="5" s="1"/>
  <c r="D498" i="5"/>
  <c r="E498" i="5" s="1"/>
  <c r="D145" i="5"/>
  <c r="E145" i="5" s="1"/>
  <c r="D247" i="5"/>
  <c r="E247" i="5" s="1"/>
  <c r="D400" i="5"/>
  <c r="E400" i="5" s="1"/>
  <c r="D72" i="5"/>
  <c r="E72" i="5" s="1"/>
  <c r="D294" i="5"/>
  <c r="E294" i="5" s="1"/>
  <c r="D332" i="5"/>
  <c r="E332" i="5" s="1"/>
  <c r="D130" i="5"/>
  <c r="E130" i="5" s="1"/>
  <c r="D291" i="5"/>
  <c r="E291" i="5" s="1"/>
  <c r="D355" i="5"/>
  <c r="E355" i="5" s="1"/>
  <c r="D87" i="5"/>
  <c r="E87" i="5" s="1"/>
  <c r="D38" i="5"/>
  <c r="E38" i="5" s="1"/>
  <c r="D422" i="5"/>
  <c r="E422" i="5" s="1"/>
  <c r="D334" i="5"/>
  <c r="E334" i="5" s="1"/>
  <c r="D136" i="5"/>
  <c r="E136" i="5" s="1"/>
  <c r="D536" i="5"/>
  <c r="E536" i="5" s="1"/>
  <c r="D85" i="5"/>
  <c r="E85" i="5" s="1"/>
  <c r="D429" i="5"/>
  <c r="E429" i="5" s="1"/>
  <c r="D184" i="5"/>
  <c r="E184" i="5" s="1"/>
  <c r="D96" i="5"/>
  <c r="E96" i="5" s="1"/>
  <c r="D161" i="5"/>
  <c r="E161" i="5" s="1"/>
  <c r="D227" i="5"/>
  <c r="E227" i="5" s="1"/>
  <c r="D272" i="5"/>
  <c r="E272" i="5" s="1"/>
  <c r="D181" i="5"/>
  <c r="E181" i="5" s="1"/>
  <c r="D384" i="5"/>
  <c r="E384" i="5" s="1"/>
  <c r="D28" i="5"/>
  <c r="E28" i="5" s="1"/>
  <c r="D424" i="5"/>
  <c r="E424" i="5" s="1"/>
  <c r="D171" i="5"/>
  <c r="E171" i="5" s="1"/>
  <c r="D217" i="5"/>
  <c r="E217" i="5" s="1"/>
  <c r="D445" i="5"/>
  <c r="E445" i="5" s="1"/>
  <c r="D173" i="5"/>
  <c r="E173" i="5" s="1"/>
  <c r="D301" i="5"/>
  <c r="E301" i="5" s="1"/>
  <c r="D316" i="5"/>
  <c r="E316" i="5" s="1"/>
  <c r="D297" i="5"/>
  <c r="E297" i="5" s="1"/>
  <c r="D448" i="5"/>
  <c r="E448" i="5" s="1"/>
  <c r="D338" i="5"/>
  <c r="E338" i="5" s="1"/>
  <c r="D107" i="5"/>
  <c r="E107" i="5" s="1"/>
  <c r="D90" i="5"/>
  <c r="E90" i="5" s="1"/>
  <c r="D382" i="5"/>
  <c r="E382" i="5" s="1"/>
  <c r="D185" i="5"/>
  <c r="E185" i="5" s="1"/>
  <c r="D190" i="5"/>
  <c r="E190" i="5" s="1"/>
  <c r="D473" i="5"/>
  <c r="E473" i="5" s="1"/>
  <c r="D74" i="5"/>
  <c r="E74" i="5" s="1"/>
  <c r="D342" i="5"/>
  <c r="E342" i="5" s="1"/>
  <c r="D73" i="5"/>
  <c r="E73" i="5" s="1"/>
  <c r="D520" i="5"/>
  <c r="E520" i="5" s="1"/>
  <c r="D362" i="5"/>
  <c r="E362" i="5" s="1"/>
  <c r="D416" i="5"/>
  <c r="E416" i="5" s="1"/>
  <c r="D516" i="5"/>
  <c r="E516" i="5" s="1"/>
  <c r="D223" i="5"/>
  <c r="E223" i="5" s="1"/>
  <c r="D401" i="5"/>
  <c r="E401" i="5" s="1"/>
  <c r="D92" i="5"/>
  <c r="E92" i="5" s="1"/>
  <c r="D425" i="5"/>
  <c r="E425" i="5" s="1"/>
  <c r="D244" i="5"/>
  <c r="E244" i="5" s="1"/>
  <c r="D159" i="5"/>
  <c r="E159" i="5" s="1"/>
  <c r="D166" i="5"/>
  <c r="E166" i="5" s="1"/>
  <c r="D496" i="5"/>
  <c r="E496" i="5" s="1"/>
  <c r="D245" i="5"/>
  <c r="E245" i="5" s="1"/>
  <c r="D46" i="5"/>
  <c r="E46" i="5" s="1"/>
  <c r="D37" i="5"/>
  <c r="E37" i="5" s="1"/>
  <c r="D127" i="5"/>
  <c r="E127" i="5" s="1"/>
  <c r="D380" i="5"/>
  <c r="E380" i="5" s="1"/>
  <c r="D490" i="5"/>
  <c r="E490" i="5" s="1"/>
  <c r="D125" i="5"/>
  <c r="E125" i="5" s="1"/>
  <c r="D279" i="5"/>
  <c r="E279" i="5" s="1"/>
  <c r="D100" i="5"/>
  <c r="E100" i="5" s="1"/>
  <c r="D493" i="5"/>
  <c r="E493" i="5" s="1"/>
  <c r="D373" i="5"/>
  <c r="E373" i="5" s="1"/>
  <c r="D168" i="5"/>
  <c r="E168" i="5" s="1"/>
  <c r="D271" i="5"/>
  <c r="E271" i="5" s="1"/>
  <c r="D175" i="5"/>
  <c r="E175" i="5" s="1"/>
  <c r="D372" i="5"/>
  <c r="E372" i="5" s="1"/>
  <c r="D465" i="5"/>
  <c r="E465" i="5" s="1"/>
  <c r="D449" i="5"/>
  <c r="E449" i="5" s="1"/>
  <c r="D501" i="5"/>
  <c r="E501" i="5" s="1"/>
  <c r="D437" i="5"/>
  <c r="E437" i="5" s="1"/>
  <c r="D443" i="5"/>
  <c r="E443" i="5" s="1"/>
  <c r="D427" i="5"/>
  <c r="E427" i="5" s="1"/>
  <c r="D503" i="5"/>
  <c r="E503" i="5" s="1"/>
  <c r="D270" i="5"/>
  <c r="E270" i="5" s="1"/>
  <c r="D444" i="5"/>
  <c r="E444" i="5" s="1"/>
  <c r="D276" i="5"/>
  <c r="E276" i="5" s="1"/>
  <c r="D469" i="5"/>
  <c r="E469" i="5" s="1"/>
  <c r="D201" i="5"/>
  <c r="E201" i="5" s="1"/>
  <c r="D105" i="5"/>
  <c r="E105" i="5" s="1"/>
  <c r="D235" i="5"/>
  <c r="E235" i="5" s="1"/>
  <c r="D295" i="5"/>
  <c r="E295" i="5" s="1"/>
  <c r="D186" i="5"/>
  <c r="E186" i="5" s="1"/>
  <c r="D188" i="5"/>
  <c r="E188" i="5" s="1"/>
  <c r="D421" i="5"/>
  <c r="E421" i="5" s="1"/>
  <c r="D470" i="5"/>
  <c r="E470" i="5" s="1"/>
  <c r="D124" i="5"/>
  <c r="E124" i="5" s="1"/>
  <c r="D333" i="5"/>
  <c r="E333" i="5" s="1"/>
  <c r="D33" i="5"/>
  <c r="E33" i="5" s="1"/>
  <c r="D432" i="5"/>
  <c r="E432" i="5" s="1"/>
  <c r="D76" i="5"/>
  <c r="E76" i="5" s="1"/>
  <c r="D363" i="5"/>
  <c r="E363" i="5" s="1"/>
  <c r="D243" i="5"/>
  <c r="E243" i="5" s="1"/>
  <c r="D507" i="5"/>
  <c r="E507" i="5" s="1"/>
  <c r="D157" i="5"/>
  <c r="E157" i="5" s="1"/>
  <c r="D212" i="5"/>
  <c r="E212" i="5" s="1"/>
  <c r="D93" i="5"/>
  <c r="E93" i="5" s="1"/>
  <c r="D267" i="5"/>
  <c r="E267" i="5" s="1"/>
  <c r="D305" i="5"/>
  <c r="E305" i="5" s="1"/>
  <c r="D101" i="5"/>
  <c r="E101" i="5" s="1"/>
  <c r="D303" i="5"/>
  <c r="E303" i="5" s="1"/>
  <c r="D118" i="5"/>
  <c r="E118" i="5" s="1"/>
  <c r="D252" i="5"/>
  <c r="E252" i="5" s="1"/>
  <c r="D406" i="5"/>
  <c r="E406" i="5" s="1"/>
  <c r="D197" i="5"/>
  <c r="E197" i="5" s="1"/>
  <c r="D292" i="5"/>
  <c r="E292" i="5" s="1"/>
  <c r="D446" i="5"/>
  <c r="E446" i="5" s="1"/>
  <c r="D119" i="5"/>
  <c r="E119" i="5" s="1"/>
  <c r="D238" i="5"/>
  <c r="E238" i="5" s="1"/>
  <c r="D95" i="5"/>
  <c r="E95" i="5" s="1"/>
  <c r="D407" i="5"/>
  <c r="E407" i="5" s="1"/>
  <c r="D343" i="5"/>
  <c r="E343" i="5" s="1"/>
  <c r="D405" i="5"/>
  <c r="E405" i="5" s="1"/>
  <c r="D111" i="5"/>
  <c r="E111" i="5" s="1"/>
  <c r="D266" i="5"/>
  <c r="E266" i="5" s="1"/>
  <c r="D420" i="5"/>
  <c r="E420" i="5" s="1"/>
  <c r="D123" i="5"/>
  <c r="E123" i="5" s="1"/>
  <c r="D140" i="5"/>
  <c r="E140" i="5" s="1"/>
  <c r="D312" i="5"/>
  <c r="E312" i="5" s="1"/>
  <c r="D269" i="5"/>
  <c r="E269" i="5" s="1"/>
  <c r="D488" i="5"/>
  <c r="E488" i="5" s="1"/>
  <c r="D154" i="5"/>
  <c r="E154" i="5" s="1"/>
  <c r="D27" i="5"/>
  <c r="E27" i="5" s="1"/>
  <c r="D35" i="5"/>
  <c r="E35" i="5" s="1"/>
  <c r="D192" i="5"/>
  <c r="E192" i="5" s="1"/>
  <c r="D263" i="5"/>
  <c r="E263" i="5" s="1"/>
  <c r="D88" i="5"/>
  <c r="E88" i="5" s="1"/>
  <c r="D256" i="5"/>
  <c r="E256" i="5" s="1"/>
  <c r="D383" i="5"/>
  <c r="E383" i="5" s="1"/>
  <c r="D308" i="5"/>
  <c r="E308" i="5" s="1"/>
  <c r="D285" i="5"/>
  <c r="E285" i="5" s="1"/>
  <c r="D450" i="5"/>
  <c r="E450" i="5" s="1"/>
  <c r="D71" i="5"/>
  <c r="E71" i="5" s="1"/>
  <c r="D457" i="5"/>
  <c r="E457" i="5" s="1"/>
  <c r="D122" i="5"/>
  <c r="E122" i="5" s="1"/>
  <c r="D368" i="5"/>
  <c r="E368" i="5" s="1"/>
  <c r="D289" i="5"/>
  <c r="E289" i="5" s="1"/>
  <c r="D202" i="5"/>
  <c r="E202" i="5" s="1"/>
  <c r="D395" i="5"/>
  <c r="E395" i="5" s="1"/>
  <c r="D428" i="5"/>
  <c r="E428" i="5" s="1"/>
  <c r="D151" i="5"/>
  <c r="E151" i="5" s="1"/>
  <c r="D322" i="5"/>
  <c r="E322" i="5" s="1"/>
  <c r="D132" i="5"/>
  <c r="E132" i="5" s="1"/>
  <c r="D128" i="5"/>
  <c r="E128" i="5" s="1"/>
  <c r="D471" i="5"/>
  <c r="E471" i="5" s="1"/>
  <c r="D242" i="5"/>
  <c r="E242" i="5" s="1"/>
  <c r="D418" i="5"/>
  <c r="E418" i="5" s="1"/>
  <c r="D479" i="5"/>
  <c r="E479" i="5" s="1"/>
  <c r="D489" i="5"/>
  <c r="E489" i="5" s="1"/>
  <c r="D163" i="5"/>
  <c r="E163" i="5" s="1"/>
  <c r="D354" i="5"/>
  <c r="E354" i="5" s="1"/>
  <c r="D206" i="5"/>
  <c r="E206" i="5" s="1"/>
  <c r="D455" i="5"/>
  <c r="E455" i="5" s="1"/>
  <c r="D461" i="5"/>
  <c r="E461" i="5" s="1"/>
  <c r="D211" i="5"/>
  <c r="E211" i="5" s="1"/>
  <c r="D313" i="5"/>
  <c r="E313" i="5" s="1"/>
  <c r="D467" i="5"/>
  <c r="E467" i="5" s="1"/>
  <c r="D433" i="5"/>
  <c r="E433" i="5" s="1"/>
  <c r="D274" i="5"/>
  <c r="E274" i="5" s="1"/>
  <c r="D494" i="5"/>
  <c r="E494" i="5" s="1"/>
  <c r="D144" i="5"/>
  <c r="E144" i="5" s="1"/>
  <c r="D191" i="5"/>
  <c r="E191" i="5" s="1"/>
  <c r="D216" i="5"/>
  <c r="E216" i="5" s="1"/>
  <c r="D337" i="5"/>
  <c r="E337" i="5" s="1"/>
  <c r="D349" i="5"/>
  <c r="E349" i="5" s="1"/>
  <c r="D203" i="5"/>
  <c r="E203" i="5" s="1"/>
  <c r="D314" i="5"/>
  <c r="E314" i="5" s="1"/>
  <c r="D199" i="5"/>
  <c r="E199" i="5" s="1"/>
  <c r="D167" i="5"/>
  <c r="E167" i="5" s="1"/>
  <c r="D158" i="5"/>
  <c r="E158" i="5" s="1"/>
  <c r="D364" i="5"/>
  <c r="E364" i="5" s="1"/>
  <c r="D381" i="5"/>
  <c r="E381" i="5" s="1"/>
  <c r="D487" i="5"/>
  <c r="E487" i="5" s="1"/>
  <c r="D348" i="5"/>
  <c r="E348" i="5" s="1"/>
  <c r="D254" i="5"/>
  <c r="E254" i="5" s="1"/>
  <c r="D288" i="5"/>
  <c r="E288" i="5" s="1"/>
  <c r="D360" i="5"/>
  <c r="E360" i="5" s="1"/>
  <c r="D262" i="5"/>
  <c r="E262" i="5" s="1"/>
  <c r="D397" i="5"/>
  <c r="E397" i="5" s="1"/>
  <c r="D255" i="5"/>
  <c r="E255" i="5" s="1"/>
  <c r="D224" i="5"/>
  <c r="E224" i="5" s="1"/>
  <c r="D306" i="5"/>
  <c r="E306" i="5" s="1"/>
  <c r="D261" i="5"/>
  <c r="E261" i="5" s="1"/>
  <c r="D311" i="5"/>
  <c r="E311" i="5" s="1"/>
  <c r="D264" i="5"/>
  <c r="E264" i="5" s="1"/>
  <c r="D447" i="5"/>
  <c r="E447" i="5" s="1"/>
  <c r="D281" i="5"/>
  <c r="E281" i="5" s="1"/>
  <c r="D352" i="5"/>
  <c r="E352" i="5" s="1"/>
  <c r="D219" i="5"/>
  <c r="E219" i="5" s="1"/>
  <c r="D484" i="5"/>
  <c r="E484" i="5" s="1"/>
  <c r="D250" i="5"/>
  <c r="E250" i="5" s="1"/>
  <c r="D413" i="5"/>
  <c r="E413" i="5" s="1"/>
  <c r="D371" i="5"/>
  <c r="E371" i="5" s="1"/>
  <c r="D387" i="5"/>
  <c r="E387" i="5" s="1"/>
  <c r="D454" i="5"/>
  <c r="E454" i="5" s="1"/>
  <c r="D204" i="5"/>
  <c r="E204" i="5" s="1"/>
  <c r="D452" i="5"/>
  <c r="E452" i="5" s="1"/>
  <c r="D200" i="5"/>
  <c r="E200" i="5" s="1"/>
  <c r="D390" i="5"/>
  <c r="E390" i="5" s="1"/>
  <c r="D296" i="5"/>
  <c r="E296" i="5" s="1"/>
  <c r="D478" i="5"/>
  <c r="E478" i="5" s="1"/>
  <c r="D146" i="5"/>
  <c r="E146" i="5" s="1"/>
  <c r="D315" i="5"/>
  <c r="E315" i="5" s="1"/>
  <c r="D182" i="5"/>
  <c r="E182" i="5" s="1"/>
  <c r="D335" i="5"/>
  <c r="E335" i="5" s="1"/>
  <c r="D328" i="5"/>
  <c r="E328" i="5" s="1"/>
  <c r="D214" i="5"/>
  <c r="E214" i="5" s="1"/>
  <c r="D299" i="5"/>
  <c r="E299" i="5" s="1"/>
  <c r="D298" i="5"/>
  <c r="E298" i="5" s="1"/>
  <c r="D346" i="5"/>
  <c r="E346" i="5" s="1"/>
  <c r="D226" i="5"/>
  <c r="E226" i="5" s="1"/>
  <c r="D283" i="5"/>
  <c r="E283" i="5" s="1"/>
  <c r="D153" i="5"/>
  <c r="E153" i="5" s="1"/>
  <c r="D236" i="5"/>
  <c r="E236" i="5" s="1"/>
  <c r="D369" i="5"/>
  <c r="E369" i="5" s="1"/>
  <c r="D402" i="5"/>
  <c r="E402" i="5" s="1"/>
  <c r="D367" i="5"/>
  <c r="E367" i="5" s="1"/>
  <c r="D472" i="5"/>
  <c r="E472" i="5" s="1"/>
  <c r="D481" i="5"/>
  <c r="E481" i="5" s="1"/>
  <c r="D403" i="5"/>
  <c r="E403" i="5" s="1"/>
  <c r="D391" i="5"/>
  <c r="E391" i="5" s="1"/>
  <c r="D282" i="5"/>
  <c r="E282" i="5" s="1"/>
  <c r="D273" i="5"/>
  <c r="E273" i="5" s="1"/>
  <c r="D431" i="5"/>
  <c r="E431" i="5" s="1"/>
  <c r="D4" i="5"/>
  <c r="E4" i="5" s="1"/>
  <c r="D111" i="6"/>
  <c r="D660" i="6"/>
  <c r="D653" i="6"/>
  <c r="D550" i="6"/>
  <c r="D760" i="6"/>
  <c r="D138" i="6"/>
  <c r="D17" i="6"/>
  <c r="D361" i="6"/>
  <c r="D37" i="6"/>
  <c r="D510" i="6"/>
  <c r="D619" i="6"/>
  <c r="D167" i="6"/>
  <c r="D118" i="6"/>
  <c r="D226" i="6"/>
  <c r="D716" i="6"/>
  <c r="D521" i="6"/>
  <c r="D46" i="6"/>
  <c r="D261" i="6"/>
  <c r="D153" i="6"/>
  <c r="D384" i="6"/>
  <c r="D50" i="6"/>
  <c r="D330" i="6"/>
  <c r="D250" i="6"/>
  <c r="D22" i="6"/>
  <c r="D713" i="6"/>
  <c r="D814" i="6"/>
  <c r="D442" i="6"/>
  <c r="D30" i="6"/>
  <c r="D743" i="6"/>
  <c r="D671" i="6"/>
  <c r="D785" i="6"/>
  <c r="D471" i="6"/>
  <c r="D706" i="6"/>
  <c r="D388" i="6"/>
  <c r="D640" i="6"/>
  <c r="D334" i="6"/>
  <c r="D91" i="6"/>
  <c r="D401" i="6"/>
  <c r="D682" i="6"/>
  <c r="D369" i="6"/>
  <c r="D230" i="6"/>
  <c r="D587" i="6"/>
  <c r="D101" i="6"/>
  <c r="D23" i="6"/>
  <c r="D630" i="6"/>
  <c r="D19" i="6"/>
  <c r="D463" i="6"/>
  <c r="D540" i="6"/>
  <c r="D145" i="6"/>
  <c r="D676" i="6"/>
  <c r="D440" i="6"/>
  <c r="D34" i="6"/>
  <c r="D527" i="6"/>
  <c r="D54" i="6"/>
  <c r="D703" i="6"/>
  <c r="D209" i="6"/>
  <c r="D194" i="6"/>
  <c r="D84" i="6"/>
  <c r="D200" i="6"/>
  <c r="D147" i="6"/>
  <c r="D212" i="6"/>
  <c r="D438" i="6"/>
  <c r="D94" i="6"/>
  <c r="D380" i="6"/>
  <c r="D123" i="6"/>
  <c r="D28" i="6"/>
  <c r="D133" i="6"/>
  <c r="D610" i="6"/>
  <c r="D345" i="6"/>
  <c r="D148" i="6"/>
  <c r="D712" i="6"/>
  <c r="D441" i="6"/>
  <c r="D327" i="6"/>
  <c r="D67" i="6"/>
  <c r="D249" i="6"/>
  <c r="D830" i="6"/>
  <c r="D110" i="6"/>
  <c r="D581" i="6"/>
  <c r="D662" i="6"/>
  <c r="D487" i="6"/>
  <c r="D661" i="6"/>
  <c r="D55" i="6"/>
  <c r="D452" i="6"/>
  <c r="D177" i="6"/>
  <c r="D99" i="6"/>
  <c r="D207" i="6"/>
  <c r="D650" i="6"/>
  <c r="D642" i="6"/>
  <c r="D156" i="6"/>
  <c r="D586" i="6"/>
  <c r="D64" i="6"/>
  <c r="D175" i="6"/>
  <c r="D756" i="6"/>
  <c r="D608" i="6"/>
  <c r="D59" i="6"/>
  <c r="D453" i="6"/>
  <c r="D656" i="6"/>
  <c r="D825" i="6"/>
  <c r="D75" i="6"/>
  <c r="D508" i="6"/>
  <c r="D702" i="6"/>
  <c r="D96" i="6"/>
  <c r="D499" i="6"/>
  <c r="D18" i="6"/>
  <c r="D107" i="6"/>
  <c r="D563" i="6"/>
  <c r="D203" i="6"/>
  <c r="D492" i="6"/>
  <c r="D592" i="6"/>
  <c r="D266" i="6"/>
  <c r="D234" i="6"/>
  <c r="D591" i="6"/>
  <c r="D543" i="6"/>
  <c r="D605" i="6"/>
  <c r="D332" i="6"/>
  <c r="D10" i="6"/>
  <c r="D697" i="6"/>
  <c r="D579" i="6"/>
  <c r="D616" i="6"/>
  <c r="D68" i="6"/>
  <c r="D316" i="6"/>
  <c r="D26" i="6"/>
  <c r="D801" i="6"/>
  <c r="D568" i="6"/>
  <c r="D444" i="6"/>
  <c r="D12" i="6"/>
  <c r="D141" i="6"/>
  <c r="D251" i="6"/>
  <c r="D771" i="6"/>
  <c r="D812" i="6"/>
  <c r="D765" i="6"/>
  <c r="D21" i="6"/>
  <c r="D588" i="6"/>
  <c r="D655" i="6"/>
  <c r="D623" i="6"/>
  <c r="D92" i="6"/>
  <c r="D282" i="6"/>
  <c r="D337" i="6"/>
  <c r="D575" i="6"/>
  <c r="D129" i="6"/>
  <c r="D589" i="6"/>
  <c r="D633" i="6"/>
  <c r="D791" i="6"/>
  <c r="D701" i="6"/>
  <c r="D16" i="6"/>
  <c r="D93" i="6"/>
  <c r="D528" i="6"/>
  <c r="D799" i="6"/>
  <c r="D35" i="6"/>
  <c r="D155" i="6"/>
  <c r="D192" i="6"/>
  <c r="D77" i="6"/>
  <c r="D473" i="6"/>
  <c r="D498" i="6"/>
  <c r="D677" i="6"/>
  <c r="D241" i="6"/>
  <c r="D490" i="6"/>
  <c r="D73" i="6"/>
  <c r="D89" i="6"/>
  <c r="D328" i="6"/>
  <c r="D313" i="6"/>
  <c r="D794" i="6"/>
  <c r="D399" i="6"/>
  <c r="D687" i="6"/>
  <c r="D629" i="6"/>
  <c r="D74" i="6"/>
  <c r="D451" i="6"/>
  <c r="D292" i="6"/>
  <c r="D103" i="6"/>
  <c r="D224" i="6"/>
  <c r="D211" i="6"/>
  <c r="D566" i="6"/>
  <c r="D287" i="6"/>
  <c r="D555" i="6"/>
  <c r="D522" i="6"/>
  <c r="D496" i="6"/>
  <c r="D205" i="6"/>
  <c r="D763" i="6"/>
  <c r="D666" i="6"/>
  <c r="D184" i="6"/>
  <c r="D279" i="6"/>
  <c r="D658" i="6"/>
  <c r="D644" i="6"/>
  <c r="D422" i="6"/>
  <c r="D356" i="6"/>
  <c r="D71" i="6"/>
  <c r="D352" i="6"/>
  <c r="D593" i="6"/>
  <c r="D219" i="6"/>
  <c r="D757" i="6"/>
  <c r="D70" i="6"/>
  <c r="D557" i="6"/>
  <c r="D509" i="6"/>
  <c r="D151" i="6"/>
  <c r="D723" i="6"/>
  <c r="D262" i="6"/>
  <c r="D182" i="6"/>
  <c r="D98" i="6"/>
  <c r="D628" i="6"/>
  <c r="D289" i="6"/>
  <c r="D507" i="6"/>
  <c r="D239" i="6"/>
  <c r="D387" i="6"/>
  <c r="D405" i="6"/>
  <c r="D373" i="6"/>
  <c r="D65" i="6"/>
  <c r="D497" i="6"/>
  <c r="D546" i="6"/>
  <c r="D24" i="6"/>
  <c r="D163" i="6"/>
  <c r="D329" i="6"/>
  <c r="D115" i="6"/>
  <c r="D311" i="6"/>
  <c r="D673" i="6"/>
  <c r="D87" i="6"/>
  <c r="D520" i="6"/>
  <c r="D274" i="6"/>
  <c r="D477" i="6"/>
  <c r="D90" i="6"/>
  <c r="D57" i="6"/>
  <c r="D627" i="6"/>
  <c r="D301" i="6"/>
  <c r="D11" i="6"/>
  <c r="D374" i="6"/>
  <c r="D27" i="6"/>
  <c r="D5" i="6"/>
  <c r="D385" i="6"/>
  <c r="D439" i="6"/>
  <c r="D199" i="6"/>
  <c r="D571" i="6"/>
  <c r="D504" i="6"/>
  <c r="D79" i="6"/>
  <c r="D559" i="6"/>
  <c r="D124" i="6"/>
  <c r="D13" i="6"/>
  <c r="D257" i="6"/>
  <c r="D596" i="6"/>
  <c r="D725" i="6"/>
  <c r="D134" i="6"/>
  <c r="D253" i="6"/>
  <c r="D131" i="6"/>
  <c r="D611" i="6"/>
  <c r="D614" i="6"/>
  <c r="D149" i="6"/>
  <c r="D130" i="6"/>
  <c r="D160" i="6"/>
  <c r="D778" i="6"/>
  <c r="D38" i="6"/>
  <c r="D293" i="6"/>
  <c r="D127" i="6"/>
  <c r="D270" i="6"/>
  <c r="D598" i="6"/>
  <c r="D809" i="6"/>
  <c r="D137" i="6"/>
  <c r="D6" i="6"/>
  <c r="D40" i="6"/>
  <c r="D541" i="6"/>
  <c r="D297" i="6"/>
  <c r="D176" i="6"/>
  <c r="D243" i="6"/>
  <c r="D740" i="6"/>
  <c r="D53" i="6"/>
  <c r="D172" i="6"/>
  <c r="D835" i="6"/>
  <c r="D256" i="6"/>
  <c r="D307" i="6"/>
  <c r="D728" i="6"/>
  <c r="D792" i="6"/>
  <c r="D454" i="6"/>
  <c r="D14" i="6"/>
  <c r="D349" i="6"/>
  <c r="D139" i="6"/>
  <c r="D244" i="6"/>
  <c r="D481" i="6"/>
  <c r="D695" i="6"/>
  <c r="D52" i="6"/>
  <c r="D418" i="6"/>
  <c r="D174" i="6"/>
  <c r="D286" i="6"/>
  <c r="D683" i="6"/>
  <c r="D480" i="6"/>
  <c r="D831" i="6"/>
  <c r="D416" i="6"/>
  <c r="D654" i="6"/>
  <c r="D341" i="6"/>
  <c r="D688" i="6"/>
  <c r="D607" i="6"/>
  <c r="D102" i="6"/>
  <c r="D180" i="6"/>
  <c r="D632" i="6"/>
  <c r="D191" i="6"/>
  <c r="D578" i="6"/>
  <c r="D726" i="6"/>
  <c r="D529" i="6"/>
  <c r="D788" i="6"/>
  <c r="D220" i="6"/>
  <c r="D570" i="6"/>
  <c r="D620" i="6"/>
  <c r="D731" i="6"/>
  <c r="D15" i="6"/>
  <c r="D613" i="6"/>
  <c r="D7" i="6"/>
  <c r="D157" i="6"/>
  <c r="D615" i="6"/>
  <c r="D252" i="6"/>
  <c r="D72" i="6"/>
  <c r="D39" i="6"/>
  <c r="D20" i="6"/>
  <c r="D233" i="6"/>
  <c r="D400" i="6"/>
  <c r="D284" i="6"/>
  <c r="D150" i="6"/>
  <c r="D738" i="6"/>
  <c r="D577" i="6"/>
  <c r="D818" i="6"/>
  <c r="D594" i="6"/>
  <c r="D768" i="6"/>
  <c r="D161" i="6"/>
  <c r="D767" i="6"/>
  <c r="D314" i="6"/>
  <c r="D29" i="6"/>
  <c r="D417" i="6"/>
  <c r="D811" i="6"/>
  <c r="D310" i="6"/>
  <c r="D736" i="6"/>
  <c r="D746" i="6"/>
  <c r="D353" i="6"/>
  <c r="D247" i="6"/>
  <c r="D754" i="6"/>
  <c r="D694" i="6"/>
  <c r="D407" i="6"/>
  <c r="D766" i="6"/>
  <c r="D829" i="6"/>
  <c r="D32" i="6"/>
  <c r="D281" i="6"/>
  <c r="D188" i="6"/>
  <c r="D624" i="6"/>
  <c r="D470" i="6"/>
  <c r="D58" i="6"/>
  <c r="D448" i="6"/>
  <c r="D104" i="6"/>
  <c r="D762" i="6"/>
  <c r="D376" i="6"/>
  <c r="D43" i="6"/>
  <c r="D152" i="6"/>
  <c r="D275" i="6"/>
  <c r="D9" i="6"/>
  <c r="D306" i="6"/>
  <c r="D764" i="6"/>
  <c r="D465" i="6"/>
  <c r="D132" i="6"/>
  <c r="D169" i="6"/>
  <c r="D246" i="6"/>
  <c r="D189" i="6"/>
  <c r="D573" i="6"/>
  <c r="D116" i="6"/>
  <c r="D443" i="6"/>
  <c r="D646" i="6"/>
  <c r="D117" i="6"/>
  <c r="D734" i="6"/>
  <c r="D355" i="6"/>
  <c r="D269" i="6"/>
  <c r="D810" i="6"/>
  <c r="D828" i="6"/>
  <c r="D783" i="6"/>
  <c r="D223" i="6"/>
  <c r="D31" i="6"/>
  <c r="D245" i="6"/>
  <c r="D390" i="6"/>
  <c r="D201" i="6"/>
  <c r="D166" i="6"/>
  <c r="D681" i="6"/>
  <c r="D168" i="6"/>
  <c r="D775" i="6"/>
  <c r="D198" i="6"/>
  <c r="D617" i="6"/>
  <c r="D382" i="6"/>
  <c r="D672" i="6"/>
  <c r="D312" i="6"/>
  <c r="D739" i="6"/>
  <c r="D423" i="6"/>
  <c r="D601" i="6"/>
  <c r="D641" i="6"/>
  <c r="D187" i="6"/>
  <c r="D318" i="6"/>
  <c r="D66" i="6"/>
  <c r="D709" i="6"/>
  <c r="D48" i="6"/>
  <c r="D796" i="6"/>
  <c r="D556" i="6"/>
  <c r="D651" i="6"/>
  <c r="D659" i="6"/>
  <c r="D350" i="6"/>
  <c r="D732" i="6"/>
  <c r="D100" i="6"/>
  <c r="D362" i="6"/>
  <c r="D770" i="6"/>
  <c r="D208" i="6"/>
  <c r="D692" i="6"/>
  <c r="D414" i="6"/>
  <c r="D343" i="6"/>
  <c r="D85" i="6"/>
  <c r="D113" i="6"/>
  <c r="D741" i="6"/>
  <c r="D178" i="6"/>
  <c r="D193" i="6"/>
  <c r="D680" i="6"/>
  <c r="D202" i="6"/>
  <c r="D609" i="6"/>
  <c r="D820" i="6"/>
  <c r="D51" i="6"/>
  <c r="D403" i="6"/>
  <c r="D354" i="6"/>
  <c r="D49" i="6"/>
  <c r="D95" i="6"/>
  <c r="D128" i="6"/>
  <c r="D357" i="6"/>
  <c r="D769" i="6"/>
  <c r="D502" i="6"/>
  <c r="D542" i="6"/>
  <c r="D724" i="6"/>
  <c r="D817" i="6"/>
  <c r="D105" i="6"/>
  <c r="D144" i="6"/>
  <c r="D338" i="6"/>
  <c r="D652" i="6"/>
  <c r="D836" i="6"/>
  <c r="D78" i="6"/>
  <c r="D489" i="6"/>
  <c r="D491" i="6"/>
  <c r="D268" i="6"/>
  <c r="D737" i="6"/>
  <c r="D493" i="6"/>
  <c r="D62" i="6"/>
  <c r="D82" i="6"/>
  <c r="D419" i="6"/>
  <c r="D600" i="6"/>
  <c r="D393" i="6"/>
  <c r="D142" i="6"/>
  <c r="D398" i="6"/>
  <c r="D434" i="6"/>
  <c r="D348" i="6"/>
  <c r="D599" i="6"/>
  <c r="D320" i="6"/>
  <c r="D231" i="6"/>
  <c r="D755" i="6"/>
  <c r="D221" i="6"/>
  <c r="D733" i="6"/>
  <c r="D722" i="6"/>
  <c r="D88" i="6"/>
  <c r="D365" i="6"/>
  <c r="D165" i="6"/>
  <c r="D45" i="6"/>
  <c r="D120" i="6"/>
  <c r="D108" i="6"/>
  <c r="D700" i="6"/>
  <c r="D751" i="6"/>
  <c r="D277" i="6"/>
  <c r="D41" i="6"/>
  <c r="D808" i="6"/>
  <c r="D409" i="6"/>
  <c r="D678" i="6"/>
  <c r="D603" i="6"/>
  <c r="D33" i="6"/>
  <c r="D539" i="6"/>
  <c r="D302" i="6"/>
  <c r="D154" i="6"/>
  <c r="D80" i="6"/>
  <c r="D258" i="6"/>
  <c r="D408" i="6"/>
  <c r="D429" i="6"/>
  <c r="D44" i="6"/>
  <c r="D213" i="6"/>
  <c r="D469" i="6"/>
  <c r="D214" i="6"/>
  <c r="D125" i="6"/>
  <c r="D675" i="6"/>
  <c r="D547" i="6"/>
  <c r="D109" i="6"/>
  <c r="D326" i="6"/>
  <c r="D97" i="6"/>
  <c r="D114" i="6"/>
  <c r="D802" i="6"/>
  <c r="D296" i="6"/>
  <c r="D727" i="6"/>
  <c r="D217" i="6"/>
  <c r="D518" i="6"/>
  <c r="D86" i="6"/>
  <c r="D744" i="6"/>
  <c r="D431" i="6"/>
  <c r="D76" i="6"/>
  <c r="D235" i="6"/>
  <c r="D691" i="6"/>
  <c r="D567" i="6"/>
  <c r="D63" i="6"/>
  <c r="D183" i="6"/>
  <c r="D81" i="6"/>
  <c r="D475" i="6"/>
  <c r="D25" i="6"/>
  <c r="D186" i="6"/>
  <c r="D404" i="6"/>
  <c r="D580" i="6"/>
  <c r="D317" i="6"/>
  <c r="D503" i="6"/>
  <c r="D140" i="6"/>
  <c r="D582" i="6"/>
  <c r="D638" i="6"/>
  <c r="D136" i="6"/>
  <c r="D645" i="6"/>
  <c r="D715" i="6"/>
  <c r="D530" i="6"/>
  <c r="D684" i="6"/>
  <c r="D8" i="6"/>
  <c r="D781" i="6"/>
  <c r="D300" i="6"/>
  <c r="D112" i="6"/>
  <c r="D229" i="6"/>
  <c r="D195" i="6"/>
  <c r="D464" i="6"/>
  <c r="D643" i="6"/>
  <c r="D565" i="6"/>
  <c r="D61" i="6"/>
  <c r="D36" i="6"/>
  <c r="D309" i="6"/>
  <c r="D47" i="6"/>
  <c r="D42" i="6"/>
  <c r="D428" i="6"/>
  <c r="D699" i="6"/>
  <c r="D795" i="6"/>
  <c r="D786" i="6"/>
  <c r="D519" i="6"/>
  <c r="D294" i="6"/>
  <c r="D122" i="6"/>
  <c r="D83" i="6"/>
  <c r="D714" i="6"/>
  <c r="D2" i="6"/>
  <c r="D647" i="6"/>
  <c r="D561" i="6"/>
  <c r="D276" i="6"/>
  <c r="D729" i="6"/>
  <c r="D458" i="6"/>
  <c r="D424" i="6"/>
  <c r="D674" i="6"/>
  <c r="D364" i="6"/>
  <c r="D552" i="6"/>
  <c r="D668" i="6"/>
  <c r="D604" i="6"/>
  <c r="D271" i="6"/>
  <c r="D696" i="6"/>
  <c r="D718" i="6"/>
  <c r="D462" i="6"/>
  <c r="D721" i="6"/>
  <c r="D664" i="6"/>
  <c r="D631" i="6"/>
  <c r="D618" i="6"/>
  <c r="D304" i="6"/>
  <c r="D449" i="6"/>
  <c r="D126" i="6"/>
  <c r="D248" i="6"/>
  <c r="D612" i="6"/>
  <c r="D135" i="6"/>
  <c r="D513" i="6"/>
  <c r="D446" i="6"/>
  <c r="D517" i="6"/>
  <c r="D359" i="6"/>
  <c r="D324" i="6"/>
  <c r="D371" i="6"/>
  <c r="D772" i="6"/>
  <c r="D583" i="6"/>
  <c r="D215" i="6"/>
  <c r="D626" i="6"/>
  <c r="D228" i="6"/>
  <c r="D158" i="6"/>
  <c r="D436" i="6"/>
  <c r="D218" i="6"/>
  <c r="D698" i="6"/>
  <c r="D595" i="6"/>
  <c r="D285" i="6"/>
  <c r="D793" i="6"/>
  <c r="D797" i="6"/>
  <c r="D346" i="6"/>
  <c r="D432" i="6"/>
  <c r="D753" i="6"/>
  <c r="D536" i="6"/>
  <c r="D295" i="6"/>
  <c r="D421" i="6"/>
  <c r="D143" i="6"/>
  <c r="D435" i="6"/>
  <c r="D774" i="6"/>
  <c r="D562" i="6"/>
  <c r="D372" i="6"/>
  <c r="D455" i="6"/>
  <c r="D308" i="6"/>
  <c r="D665" i="6"/>
  <c r="D315" i="6"/>
  <c r="D657" i="6"/>
  <c r="D386" i="6"/>
  <c r="D663" i="6"/>
  <c r="D621" i="6"/>
  <c r="D537" i="6"/>
  <c r="D560" i="6"/>
  <c r="D478" i="6"/>
  <c r="D554" i="6"/>
  <c r="D564" i="6"/>
  <c r="D397" i="6"/>
  <c r="D710" i="6"/>
  <c r="D535" i="6"/>
  <c r="D686" i="6"/>
  <c r="D512" i="6"/>
  <c r="D238" i="6"/>
  <c r="D590" i="6"/>
  <c r="D569" i="6"/>
  <c r="D121" i="6"/>
  <c r="D333" i="6"/>
  <c r="D347" i="6"/>
  <c r="D758" i="6"/>
  <c r="D597" i="6"/>
  <c r="D505" i="6"/>
  <c r="D336" i="6"/>
  <c r="D625" i="6"/>
  <c r="D204" i="6"/>
  <c r="D685" i="6"/>
  <c r="D832" i="6"/>
  <c r="D216" i="6"/>
  <c r="D412" i="6"/>
  <c r="D532" i="6"/>
  <c r="D707" i="6"/>
  <c r="D789" i="6"/>
  <c r="D232" i="6"/>
  <c r="D636" i="6"/>
  <c r="D344" i="6"/>
  <c r="D670" i="6"/>
  <c r="D164" i="6"/>
  <c r="D254" i="6"/>
  <c r="D456" i="6"/>
  <c r="D181" i="6"/>
  <c r="D526" i="6"/>
  <c r="D395" i="6"/>
  <c r="D549" i="6"/>
  <c r="D750" i="6"/>
  <c r="D486" i="6"/>
  <c r="D472" i="6"/>
  <c r="D325" i="6"/>
  <c r="D576" i="6"/>
  <c r="D648" i="6"/>
  <c r="D585" i="6"/>
  <c r="D805" i="6"/>
  <c r="D798" i="6"/>
  <c r="D299" i="6"/>
  <c r="D392" i="6"/>
  <c r="D468" i="6"/>
  <c r="D639" i="6"/>
  <c r="D773" i="6"/>
  <c r="D190" i="6"/>
  <c r="D430" i="6"/>
  <c r="D551" i="6"/>
  <c r="D236" i="6"/>
  <c r="D819" i="6"/>
  <c r="D381" i="6"/>
  <c r="D342" i="6"/>
  <c r="D420" i="6"/>
  <c r="D173" i="6"/>
  <c r="D210" i="6"/>
  <c r="D779" i="6"/>
  <c r="D335" i="6"/>
  <c r="D815" i="6"/>
  <c r="D263" i="6"/>
  <c r="D474" i="6"/>
  <c r="D516" i="6"/>
  <c r="D500" i="6"/>
  <c r="D553" i="6"/>
  <c r="D484" i="6"/>
  <c r="D635" i="6"/>
  <c r="D548" i="6"/>
  <c r="D360" i="6"/>
  <c r="D461" i="6"/>
  <c r="D494" i="6"/>
  <c r="D705" i="6"/>
  <c r="D476" i="6"/>
  <c r="D366" i="6"/>
  <c r="D170" i="6"/>
  <c r="D545" i="6"/>
  <c r="D780" i="6"/>
  <c r="D667" i="6"/>
  <c r="D459" i="6"/>
  <c r="D264" i="6"/>
  <c r="D776" i="6"/>
  <c r="D323" i="6"/>
  <c r="D806" i="6"/>
  <c r="D572" i="6"/>
  <c r="D280" i="6"/>
  <c r="D460" i="6"/>
  <c r="D719" i="6"/>
  <c r="D506" i="6"/>
  <c r="D368" i="6"/>
  <c r="D790" i="6"/>
  <c r="D447" i="6"/>
  <c r="D260" i="6"/>
  <c r="D351" i="6"/>
  <c r="D389" i="6"/>
  <c r="D813" i="6"/>
  <c r="D237" i="6"/>
  <c r="D411" i="6"/>
  <c r="D197" i="6"/>
  <c r="D370" i="6"/>
  <c r="D383" i="6"/>
  <c r="D406" i="6"/>
  <c r="D415" i="6"/>
  <c r="D227" i="6"/>
  <c r="D584" i="6"/>
  <c r="D833" i="6"/>
  <c r="D437" i="6"/>
  <c r="D291" i="6"/>
  <c r="D525" i="6"/>
  <c r="D283" i="6"/>
  <c r="D426" i="6"/>
  <c r="D450" i="6"/>
  <c r="D745" i="6"/>
  <c r="D413" i="6"/>
  <c r="D693" i="6"/>
  <c r="D303" i="6"/>
  <c r="D185" i="6"/>
  <c r="D457" i="6"/>
  <c r="D511" i="6"/>
  <c r="D602" i="6"/>
  <c r="D622" i="6"/>
  <c r="D278" i="6"/>
  <c r="D363" i="6"/>
  <c r="D290" i="6"/>
  <c r="D358" i="6"/>
  <c r="D319" i="6"/>
  <c r="D402" i="6"/>
  <c r="D759" i="6"/>
  <c r="D488" i="6"/>
  <c r="D305" i="6"/>
  <c r="D179" i="6"/>
  <c r="D222" i="6"/>
  <c r="D394" i="6"/>
  <c r="D523" i="6"/>
  <c r="D367" i="6"/>
  <c r="D56" i="6"/>
  <c r="D467" i="6"/>
  <c r="D690" i="6"/>
  <c r="D162" i="6"/>
  <c r="D425" i="6"/>
  <c r="D106" i="6"/>
  <c r="D391" i="6"/>
  <c r="D321" i="6"/>
  <c r="D159" i="6"/>
  <c r="D669" i="6"/>
  <c r="D466" i="6"/>
  <c r="D495" i="6"/>
  <c r="D265" i="6"/>
  <c r="D704" i="6"/>
  <c r="D515" i="6"/>
  <c r="D479" i="6"/>
  <c r="D225" i="6"/>
  <c r="D410" i="6"/>
  <c r="D482" i="6"/>
  <c r="D3" i="6"/>
  <c r="D331" i="6"/>
  <c r="D679" i="6"/>
  <c r="D267" i="6"/>
  <c r="D146" i="6"/>
  <c r="D531" i="6"/>
  <c r="D574" i="6"/>
  <c r="D485" i="6"/>
  <c r="D807" i="6"/>
  <c r="D272" i="6"/>
  <c r="D606" i="6"/>
  <c r="D255" i="6"/>
  <c r="D298" i="6"/>
  <c r="D777" i="6"/>
  <c r="D69" i="6"/>
  <c r="D558" i="6"/>
  <c r="D637" i="6"/>
  <c r="D242" i="6"/>
  <c r="D433" i="6"/>
  <c r="D427" i="6"/>
  <c r="D206" i="6"/>
  <c r="D60" i="6"/>
  <c r="D322" i="6"/>
  <c r="D747" i="6"/>
  <c r="D288" i="6"/>
  <c r="D634" i="6"/>
  <c r="D735" i="6"/>
  <c r="D273" i="6"/>
  <c r="D259" i="6"/>
  <c r="D4" i="6"/>
  <c r="D821" i="6"/>
  <c r="D826" i="6"/>
  <c r="D514" i="6"/>
  <c r="D803" i="6"/>
  <c r="D749" i="6"/>
  <c r="D240" i="6"/>
  <c r="D524" i="6"/>
  <c r="D787" i="6"/>
  <c r="D377" i="6"/>
  <c r="D689" i="6"/>
  <c r="D742" i="6"/>
  <c r="D752" i="6"/>
  <c r="D748" i="6"/>
  <c r="D339" i="6"/>
  <c r="D483" i="6"/>
  <c r="D375" i="6"/>
  <c r="D800" i="6"/>
  <c r="D827" i="6"/>
  <c r="D196" i="6"/>
  <c r="D822" i="6"/>
  <c r="D445" i="6"/>
  <c r="D720" i="6"/>
  <c r="D533" i="6"/>
  <c r="D784" i="6"/>
  <c r="D534" i="6"/>
  <c r="D378" i="6"/>
  <c r="D823" i="6"/>
  <c r="D649" i="6"/>
  <c r="D379" i="6"/>
  <c r="D816" i="6"/>
  <c r="D340" i="6"/>
  <c r="D824" i="6"/>
  <c r="D544" i="6"/>
  <c r="D730" i="6"/>
  <c r="D782" i="6"/>
  <c r="D834" i="6"/>
  <c r="D761" i="6"/>
  <c r="D708" i="6"/>
  <c r="D396" i="6"/>
  <c r="D538" i="6"/>
  <c r="D717" i="6"/>
  <c r="D711" i="6"/>
  <c r="D171" i="6"/>
  <c r="D501" i="6"/>
  <c r="D119" i="6"/>
  <c r="D804" i="6"/>
  <c r="E4" i="9" l="1"/>
  <c r="E58" i="9"/>
  <c r="E357" i="9"/>
  <c r="E112" i="9"/>
  <c r="E122" i="9"/>
  <c r="E186" i="9"/>
  <c r="E227" i="9"/>
  <c r="F233" i="9" a="1"/>
  <c r="F233" i="9" s="1"/>
  <c r="E257" i="9"/>
  <c r="E263" i="9"/>
  <c r="E378" i="9"/>
  <c r="E96" i="9"/>
  <c r="E102" i="9"/>
  <c r="E117" i="9"/>
  <c r="E181" i="9"/>
  <c r="E205" i="9"/>
  <c r="E216" i="9"/>
  <c r="E233" i="9"/>
  <c r="F270" i="9" a="1"/>
  <c r="F270" i="9" s="1"/>
  <c r="E338" i="9"/>
  <c r="E49" i="9"/>
  <c r="E330" i="9"/>
  <c r="F200" i="9" a="1"/>
  <c r="F200" i="9" s="1"/>
  <c r="E200" i="9"/>
  <c r="E222" i="9"/>
  <c r="E240" i="9"/>
  <c r="E313" i="9"/>
  <c r="E332" i="9"/>
  <c r="E22" i="9"/>
  <c r="E10" i="9"/>
  <c r="E19" i="9"/>
  <c r="E28" i="9"/>
  <c r="F37" i="9" a="1"/>
  <c r="F37" i="9" s="1"/>
  <c r="E37" i="9"/>
  <c r="E46" i="9"/>
  <c r="E55" i="9"/>
  <c r="E64" i="9"/>
  <c r="E73" i="9"/>
  <c r="E78" i="9"/>
  <c r="E83" i="9"/>
  <c r="F98" i="9" a="1"/>
  <c r="F98" i="9" s="1"/>
  <c r="E98" i="9"/>
  <c r="E134" i="9"/>
  <c r="E140" i="9"/>
  <c r="E145" i="9"/>
  <c r="E252" i="9"/>
  <c r="E259" i="9"/>
  <c r="E294" i="9"/>
  <c r="F301" i="9" a="1"/>
  <c r="F301" i="9" s="1"/>
  <c r="E307" i="9"/>
  <c r="E320" i="9"/>
  <c r="E352" i="9"/>
  <c r="E411" i="9"/>
  <c r="D535" i="9"/>
  <c r="F227" i="9" s="1" a="1"/>
  <c r="F227" i="9" s="1"/>
  <c r="F241" i="9" a="1"/>
  <c r="F241" i="9" s="1"/>
  <c r="E241" i="9"/>
  <c r="E295" i="9"/>
  <c r="E360" i="9"/>
  <c r="E67" i="9"/>
  <c r="F109" i="9" a="1"/>
  <c r="F109" i="9" s="1"/>
  <c r="E135" i="9"/>
  <c r="E171" i="9"/>
  <c r="E177" i="9"/>
  <c r="E212" i="9"/>
  <c r="E218" i="9"/>
  <c r="F296" i="9" a="1"/>
  <c r="F296" i="9" s="1"/>
  <c r="E13" i="9"/>
  <c r="E99" i="9"/>
  <c r="E109" i="9"/>
  <c r="E114" i="9"/>
  <c r="E119" i="9"/>
  <c r="E125" i="9"/>
  <c r="E207" i="9"/>
  <c r="E266" i="9"/>
  <c r="E272" i="9"/>
  <c r="E296" i="9"/>
  <c r="E346" i="9"/>
  <c r="F25" i="9" a="1"/>
  <c r="F25" i="9" s="1"/>
  <c r="E25" i="9"/>
  <c r="F43" i="9" a="1"/>
  <c r="F43" i="9" s="1"/>
  <c r="E43" i="9"/>
  <c r="E52" i="9"/>
  <c r="E61" i="9"/>
  <c r="E70" i="9"/>
  <c r="E75" i="9"/>
  <c r="F85" i="9" a="1"/>
  <c r="F85" i="9" s="1"/>
  <c r="E85" i="9"/>
  <c r="F147" i="9" a="1"/>
  <c r="F147" i="9" s="1"/>
  <c r="E147" i="9"/>
  <c r="E157" i="9"/>
  <c r="E190" i="9"/>
  <c r="E196" i="9"/>
  <c r="E347" i="9"/>
  <c r="F31" i="9" a="1"/>
  <c r="F31" i="9" s="1"/>
  <c r="E31" i="9"/>
  <c r="F16" i="9" a="1"/>
  <c r="F16" i="9" s="1"/>
  <c r="E16" i="9"/>
  <c r="E163" i="9"/>
  <c r="E248" i="9"/>
  <c r="E7" i="9"/>
  <c r="E148" i="9"/>
  <c r="E153" i="9"/>
  <c r="E197" i="9"/>
  <c r="E317" i="9"/>
  <c r="F317" i="9" a="1"/>
  <c r="F317" i="9" s="1"/>
  <c r="F384" i="9" a="1"/>
  <c r="F384" i="9" s="1"/>
  <c r="E40" i="9"/>
  <c r="E34" i="9"/>
  <c r="E106" i="9"/>
  <c r="E111" i="9"/>
  <c r="F121" i="9" a="1"/>
  <c r="F121" i="9" s="1"/>
  <c r="E121" i="9"/>
  <c r="F185" i="9" a="1"/>
  <c r="F185" i="9" s="1"/>
  <c r="E185" i="9"/>
  <c r="E226" i="9"/>
  <c r="E268" i="9"/>
  <c r="E279" i="9"/>
  <c r="E286" i="9"/>
  <c r="F286" i="9" a="1"/>
  <c r="F286" i="9" s="1"/>
  <c r="E305" i="9"/>
  <c r="E349" i="9"/>
  <c r="E358" i="9"/>
  <c r="F382" i="9" a="1"/>
  <c r="F382" i="9" s="1"/>
  <c r="E389" i="9"/>
  <c r="E72" i="9"/>
  <c r="E108" i="9"/>
  <c r="E144" i="9"/>
  <c r="E174" i="9"/>
  <c r="E204" i="9"/>
  <c r="E267" i="9"/>
  <c r="E271" i="9"/>
  <c r="E282" i="9"/>
  <c r="F348" i="9" a="1"/>
  <c r="F348" i="9" s="1"/>
  <c r="E370" i="9"/>
  <c r="E441" i="9"/>
  <c r="F168" i="9" a="1"/>
  <c r="F168" i="9" s="1"/>
  <c r="F129" i="9" a="1"/>
  <c r="F129" i="9" s="1"/>
  <c r="E132" i="9"/>
  <c r="E142" i="9"/>
  <c r="E168" i="9"/>
  <c r="E179" i="9"/>
  <c r="E220" i="9"/>
  <c r="F261" i="9" a="1"/>
  <c r="F261" i="9" s="1"/>
  <c r="E276" i="9"/>
  <c r="E284" i="9"/>
  <c r="E288" i="9"/>
  <c r="E292" i="9"/>
  <c r="E301" i="9"/>
  <c r="E93" i="9"/>
  <c r="F126" i="9" a="1"/>
  <c r="F126" i="9" s="1"/>
  <c r="E129" i="9"/>
  <c r="F162" i="9" a="1"/>
  <c r="F162" i="9" s="1"/>
  <c r="E165" i="9"/>
  <c r="E194" i="9"/>
  <c r="E198" i="9"/>
  <c r="E239" i="9"/>
  <c r="F250" i="9" a="1"/>
  <c r="F250" i="9" s="1"/>
  <c r="E261" i="9"/>
  <c r="E309" i="9"/>
  <c r="E314" i="9"/>
  <c r="F318" i="9" a="1"/>
  <c r="F318" i="9" s="1"/>
  <c r="E355" i="9"/>
  <c r="F159" i="9" a="1"/>
  <c r="F159" i="9" s="1"/>
  <c r="F176" i="9" a="1"/>
  <c r="F176" i="9" s="1"/>
  <c r="F243" i="9" a="1"/>
  <c r="F243" i="9" s="1"/>
  <c r="E258" i="9"/>
  <c r="E87" i="9"/>
  <c r="F120" i="9" a="1"/>
  <c r="F120" i="9" s="1"/>
  <c r="E123" i="9"/>
  <c r="E159" i="9"/>
  <c r="E176" i="9"/>
  <c r="E180" i="9"/>
  <c r="E243" i="9"/>
  <c r="F302" i="9" a="1"/>
  <c r="F302" i="9" s="1"/>
  <c r="F323" i="9" a="1"/>
  <c r="F323" i="9" s="1"/>
  <c r="E336" i="9"/>
  <c r="E409" i="9"/>
  <c r="E396" i="9"/>
  <c r="F429" i="9" a="1"/>
  <c r="F429" i="9" s="1"/>
  <c r="E429" i="9"/>
  <c r="E443" i="9"/>
  <c r="F183" i="9" a="1"/>
  <c r="F183" i="9" s="1"/>
  <c r="F417" i="9" a="1"/>
  <c r="F417" i="9" s="1"/>
  <c r="E417" i="9"/>
  <c r="F473" i="9" a="1"/>
  <c r="F473" i="9" s="1"/>
  <c r="F530" i="9" a="1"/>
  <c r="F530" i="9" s="1"/>
  <c r="E455" i="9"/>
  <c r="E405" i="9"/>
  <c r="F446" i="9" a="1"/>
  <c r="F446" i="9" s="1"/>
  <c r="E446" i="9"/>
  <c r="F425" i="9" a="1"/>
  <c r="F425" i="9" s="1"/>
  <c r="F376" i="9" a="1"/>
  <c r="F376" i="9" s="1"/>
  <c r="E485" i="9"/>
  <c r="F273" i="9" a="1"/>
  <c r="F273" i="9" s="1"/>
  <c r="F329" i="9" a="1"/>
  <c r="F329" i="9" s="1"/>
  <c r="E371" i="9"/>
  <c r="F377" i="9" a="1"/>
  <c r="F377" i="9" s="1"/>
  <c r="F394" i="9" a="1"/>
  <c r="F394" i="9" s="1"/>
  <c r="E394" i="9"/>
  <c r="F401" i="9" a="1"/>
  <c r="F401" i="9" s="1"/>
  <c r="E450" i="9"/>
  <c r="F470" i="9" a="1"/>
  <c r="F470" i="9" s="1"/>
  <c r="F515" i="9" a="1"/>
  <c r="F515" i="9" s="1"/>
  <c r="F495" i="9" a="1"/>
  <c r="F495" i="9" s="1"/>
  <c r="E495" i="9"/>
  <c r="E382" i="9"/>
  <c r="F471" i="9" a="1"/>
  <c r="F471" i="9" s="1"/>
  <c r="E368" i="9"/>
  <c r="E375" i="9"/>
  <c r="E386" i="9"/>
  <c r="E393" i="9"/>
  <c r="F486" i="9" a="1"/>
  <c r="F486" i="9" s="1"/>
  <c r="E486" i="9"/>
  <c r="E464" i="9"/>
  <c r="E473" i="9"/>
  <c r="E482" i="9"/>
  <c r="F492" i="9" a="1"/>
  <c r="F492" i="9" s="1"/>
  <c r="E492" i="9"/>
  <c r="E503" i="9"/>
  <c r="E509" i="9"/>
  <c r="E515" i="9"/>
  <c r="E521" i="9"/>
  <c r="E527" i="9"/>
  <c r="E533" i="9"/>
  <c r="E483" i="9"/>
  <c r="F447" i="9" a="1"/>
  <c r="F447" i="9" s="1"/>
  <c r="E452" i="9"/>
  <c r="E461" i="9"/>
  <c r="F465" i="9" a="1"/>
  <c r="F465" i="9" s="1"/>
  <c r="E470" i="9"/>
  <c r="E489" i="9"/>
  <c r="F507" i="9" a="1"/>
  <c r="F507" i="9" s="1"/>
  <c r="F510" i="9" a="1"/>
  <c r="F510" i="9" s="1"/>
  <c r="F516" i="9" a="1"/>
  <c r="F516" i="9" s="1"/>
  <c r="F519" i="9" a="1"/>
  <c r="F519" i="9" s="1"/>
  <c r="F522" i="9" a="1"/>
  <c r="F522" i="9" s="1"/>
  <c r="F424" i="9" a="1"/>
  <c r="F424" i="9" s="1"/>
  <c r="F427" i="9" a="1"/>
  <c r="F427" i="9" s="1"/>
  <c r="F433" i="9" a="1"/>
  <c r="F433" i="9" s="1"/>
  <c r="F436" i="9" a="1"/>
  <c r="F436" i="9" s="1"/>
  <c r="F439" i="9" a="1"/>
  <c r="F439" i="9" s="1"/>
  <c r="F460" i="9" a="1"/>
  <c r="F460" i="9" s="1"/>
  <c r="F463" i="9" a="1"/>
  <c r="F463" i="9" s="1"/>
  <c r="F466" i="9" a="1"/>
  <c r="F466" i="9" s="1"/>
  <c r="F469" i="9" a="1"/>
  <c r="F469" i="9" s="1"/>
  <c r="F472" i="9" a="1"/>
  <c r="F472" i="9" s="1"/>
  <c r="F475" i="9" a="1"/>
  <c r="F475" i="9" s="1"/>
  <c r="F496" i="9" a="1"/>
  <c r="F496" i="9" s="1"/>
  <c r="F499" i="9" a="1"/>
  <c r="F499" i="9" s="1"/>
  <c r="F502" i="9" a="1"/>
  <c r="F502" i="9" s="1"/>
  <c r="F505" i="9" a="1"/>
  <c r="F505" i="9" s="1"/>
  <c r="F508" i="9" a="1"/>
  <c r="F508" i="9" s="1"/>
  <c r="F511" i="9" a="1"/>
  <c r="F511" i="9" s="1"/>
  <c r="E234" i="5"/>
  <c r="D234" i="5"/>
  <c r="F173" i="5" s="1" a="1"/>
  <c r="F173" i="5" s="1"/>
  <c r="D2" i="5"/>
  <c r="D3" i="5"/>
  <c r="E535" i="9" l="1"/>
  <c r="F512" i="9" a="1"/>
  <c r="F512" i="9" s="1"/>
  <c r="F509" i="9" a="1"/>
  <c r="F509" i="9" s="1"/>
  <c r="F518" i="9" a="1"/>
  <c r="F518" i="9" s="1"/>
  <c r="F409" i="9" a="1"/>
  <c r="F409" i="9" s="1"/>
  <c r="F258" i="9" a="1"/>
  <c r="F258" i="9" s="1"/>
  <c r="F105" i="9" a="1"/>
  <c r="F105" i="9" s="1"/>
  <c r="F389" i="9" a="1"/>
  <c r="F389" i="9" s="1"/>
  <c r="F324" i="9" a="1"/>
  <c r="F324" i="9" s="1"/>
  <c r="F7" i="9" a="1"/>
  <c r="F7" i="9" s="1"/>
  <c r="F207" i="9" a="1"/>
  <c r="F207" i="9" s="1"/>
  <c r="F266" i="9" a="1"/>
  <c r="F266" i="9" s="1"/>
  <c r="F99" i="9" a="1"/>
  <c r="F99" i="9" s="1"/>
  <c r="F177" i="9" a="1"/>
  <c r="F177" i="9" s="1"/>
  <c r="F320" i="9" a="1"/>
  <c r="F320" i="9" s="1"/>
  <c r="F78" i="9" a="1"/>
  <c r="F78" i="9" s="1"/>
  <c r="F264" i="9" a="1"/>
  <c r="F264" i="9" s="1"/>
  <c r="F88" i="9" a="1"/>
  <c r="F88" i="9" s="1"/>
  <c r="F494" i="9" a="1"/>
  <c r="F494" i="9" s="1"/>
  <c r="F479" i="9" a="1"/>
  <c r="F479" i="9" s="1"/>
  <c r="F474" i="9" a="1"/>
  <c r="F474" i="9" s="1"/>
  <c r="F438" i="9" a="1"/>
  <c r="F438" i="9" s="1"/>
  <c r="F426" i="9" a="1"/>
  <c r="F426" i="9" s="1"/>
  <c r="F414" i="9" a="1"/>
  <c r="F414" i="9" s="1"/>
  <c r="F402" i="9" a="1"/>
  <c r="F402" i="9" s="1"/>
  <c r="F395" i="9" a="1"/>
  <c r="F395" i="9" s="1"/>
  <c r="F366" i="9" a="1"/>
  <c r="F366" i="9" s="1"/>
  <c r="F488" i="9" a="1"/>
  <c r="F488" i="9" s="1"/>
  <c r="F398" i="9" a="1"/>
  <c r="F398" i="9" s="1"/>
  <c r="F387" i="9" a="1"/>
  <c r="F387" i="9" s="1"/>
  <c r="F380" i="9" a="1"/>
  <c r="F380" i="9" s="1"/>
  <c r="F369" i="9" a="1"/>
  <c r="F369" i="9" s="1"/>
  <c r="F362" i="9" a="1"/>
  <c r="F362" i="9" s="1"/>
  <c r="F491" i="9" a="1"/>
  <c r="F491" i="9" s="1"/>
  <c r="F432" i="9" a="1"/>
  <c r="F432" i="9" s="1"/>
  <c r="F420" i="9" a="1"/>
  <c r="F420" i="9" s="1"/>
  <c r="F408" i="9" a="1"/>
  <c r="F408" i="9" s="1"/>
  <c r="F476" i="9" a="1"/>
  <c r="F476" i="9" s="1"/>
  <c r="F467" i="9" a="1"/>
  <c r="F467" i="9" s="1"/>
  <c r="F458" i="9" a="1"/>
  <c r="F458" i="9" s="1"/>
  <c r="F449" i="9" a="1"/>
  <c r="F449" i="9" s="1"/>
  <c r="F440" i="9" a="1"/>
  <c r="F440" i="9" s="1"/>
  <c r="F428" i="9" a="1"/>
  <c r="F428" i="9" s="1"/>
  <c r="F416" i="9" a="1"/>
  <c r="F416" i="9" s="1"/>
  <c r="F404" i="9" a="1"/>
  <c r="F404" i="9" s="1"/>
  <c r="F400" i="9" a="1"/>
  <c r="F400" i="9" s="1"/>
  <c r="F480" i="9" a="1"/>
  <c r="F480" i="9" s="1"/>
  <c r="F407" i="9" a="1"/>
  <c r="F407" i="9" s="1"/>
  <c r="F345" i="9" a="1"/>
  <c r="F345" i="9" s="1"/>
  <c r="F419" i="9" a="1"/>
  <c r="F419" i="9" s="1"/>
  <c r="F399" i="9" a="1"/>
  <c r="F399" i="9" s="1"/>
  <c r="F381" i="9" a="1"/>
  <c r="F381" i="9" s="1"/>
  <c r="F361" i="9" a="1"/>
  <c r="F361" i="9" s="1"/>
  <c r="F431" i="9" a="1"/>
  <c r="F431" i="9" s="1"/>
  <c r="F392" i="9" a="1"/>
  <c r="F392" i="9" s="1"/>
  <c r="F344" i="9" a="1"/>
  <c r="F344" i="9" s="1"/>
  <c r="F410" i="9" a="1"/>
  <c r="F410" i="9" s="1"/>
  <c r="F391" i="9" a="1"/>
  <c r="F391" i="9" s="1"/>
  <c r="F374" i="9" a="1"/>
  <c r="F374" i="9" s="1"/>
  <c r="F397" i="9" a="1"/>
  <c r="F397" i="9" s="1"/>
  <c r="F379" i="9" a="1"/>
  <c r="F379" i="9" s="1"/>
  <c r="F363" i="9" a="1"/>
  <c r="F363" i="9" s="1"/>
  <c r="F331" i="9" a="1"/>
  <c r="F331" i="9" s="1"/>
  <c r="F269" i="9" a="1"/>
  <c r="F269" i="9" s="1"/>
  <c r="F202" i="9" a="1"/>
  <c r="F202" i="9" s="1"/>
  <c r="F149" i="9" a="1"/>
  <c r="F149" i="9" s="1"/>
  <c r="F136" i="9" a="1"/>
  <c r="F136" i="9" s="1"/>
  <c r="F113" i="9" a="1"/>
  <c r="F113" i="9" s="1"/>
  <c r="F100" i="9" a="1"/>
  <c r="F100" i="9" s="1"/>
  <c r="F77" i="9" a="1"/>
  <c r="F77" i="9" s="1"/>
  <c r="F335" i="9" a="1"/>
  <c r="F335" i="9" s="1"/>
  <c r="F297" i="9" a="1"/>
  <c r="F297" i="9" s="1"/>
  <c r="F280" i="9" a="1"/>
  <c r="F280" i="9" s="1"/>
  <c r="F265" i="9" a="1"/>
  <c r="F265" i="9" s="1"/>
  <c r="F254" i="9" a="1"/>
  <c r="F254" i="9" s="1"/>
  <c r="F224" i="9" a="1"/>
  <c r="F224" i="9" s="1"/>
  <c r="F187" i="9" a="1"/>
  <c r="F187" i="9" s="1"/>
  <c r="F172" i="9" a="1"/>
  <c r="F172" i="9" s="1"/>
  <c r="F152" i="9" a="1"/>
  <c r="F152" i="9" s="1"/>
  <c r="F139" i="9" a="1"/>
  <c r="F139" i="9" s="1"/>
  <c r="F116" i="9" a="1"/>
  <c r="F116" i="9" s="1"/>
  <c r="F103" i="9" a="1"/>
  <c r="F103" i="9" s="1"/>
  <c r="F80" i="9" a="1"/>
  <c r="F80" i="9" s="1"/>
  <c r="F161" i="9" a="1"/>
  <c r="F161" i="9" s="1"/>
  <c r="F350" i="9" a="1"/>
  <c r="F350" i="9" s="1"/>
  <c r="F326" i="9" a="1"/>
  <c r="F326" i="9" s="1"/>
  <c r="F155" i="9" a="1"/>
  <c r="F155" i="9" s="1"/>
  <c r="F422" i="9" a="1"/>
  <c r="F422" i="9" s="1"/>
  <c r="F242" i="9" a="1"/>
  <c r="F242" i="9" s="1"/>
  <c r="F175" i="9" a="1"/>
  <c r="F175" i="9" s="1"/>
  <c r="F158" i="9" a="1"/>
  <c r="F158" i="9" s="1"/>
  <c r="F339" i="9" a="1"/>
  <c r="F339" i="9" s="1"/>
  <c r="F321" i="9" a="1"/>
  <c r="F321" i="9" s="1"/>
  <c r="F434" i="9" a="1"/>
  <c r="F434" i="9" s="1"/>
  <c r="F333" i="9" a="1"/>
  <c r="F333" i="9" s="1"/>
  <c r="F278" i="9" a="1"/>
  <c r="F278" i="9" s="1"/>
  <c r="F211" i="9" a="1"/>
  <c r="F211" i="9" s="1"/>
  <c r="F170" i="9" a="1"/>
  <c r="F170" i="9" s="1"/>
  <c r="F342" i="9" a="1"/>
  <c r="F342" i="9" s="1"/>
  <c r="F290" i="9" a="1"/>
  <c r="F290" i="9" s="1"/>
  <c r="F356" i="9" a="1"/>
  <c r="F356" i="9" s="1"/>
  <c r="F298" i="9" a="1"/>
  <c r="F298" i="9" s="1"/>
  <c r="F291" i="9" a="1"/>
  <c r="F291" i="9" s="1"/>
  <c r="F262" i="9" a="1"/>
  <c r="F262" i="9" s="1"/>
  <c r="F203" i="9" a="1"/>
  <c r="F203" i="9" s="1"/>
  <c r="F91" i="9" a="1"/>
  <c r="F91" i="9" s="1"/>
  <c r="F76" i="9" a="1"/>
  <c r="F76" i="9" s="1"/>
  <c r="F71" i="9" a="1"/>
  <c r="F71" i="9" s="1"/>
  <c r="F62" i="9" a="1"/>
  <c r="F62" i="9" s="1"/>
  <c r="F53" i="9" a="1"/>
  <c r="F53" i="9" s="1"/>
  <c r="F44" i="9" a="1"/>
  <c r="F44" i="9" s="1"/>
  <c r="F35" i="9" a="1"/>
  <c r="F35" i="9" s="1"/>
  <c r="F26" i="9" a="1"/>
  <c r="F26" i="9" s="1"/>
  <c r="F17" i="9" a="1"/>
  <c r="F17" i="9" s="1"/>
  <c r="F8" i="9" a="1"/>
  <c r="F8" i="9" s="1"/>
  <c r="F310" i="9" a="1"/>
  <c r="F310" i="9" s="1"/>
  <c r="F304" i="9" a="1"/>
  <c r="F304" i="9" s="1"/>
  <c r="F285" i="9" a="1"/>
  <c r="F285" i="9" s="1"/>
  <c r="F214" i="9" a="1"/>
  <c r="F214" i="9" s="1"/>
  <c r="F208" i="9" a="1"/>
  <c r="F208" i="9" s="1"/>
  <c r="F184" i="9" a="1"/>
  <c r="F184" i="9" s="1"/>
  <c r="F131" i="9" a="1"/>
  <c r="F131" i="9" s="1"/>
  <c r="F115" i="9" a="1"/>
  <c r="F115" i="9" s="1"/>
  <c r="F95" i="9" a="1"/>
  <c r="F95" i="9" s="1"/>
  <c r="F66" i="9" a="1"/>
  <c r="F66" i="9" s="1"/>
  <c r="F57" i="9" a="1"/>
  <c r="F57" i="9" s="1"/>
  <c r="F48" i="9" a="1"/>
  <c r="F48" i="9" s="1"/>
  <c r="F39" i="9" a="1"/>
  <c r="F39" i="9" s="1"/>
  <c r="F30" i="9" a="1"/>
  <c r="F30" i="9" s="1"/>
  <c r="F21" i="9" a="1"/>
  <c r="F21" i="9" s="1"/>
  <c r="F12" i="9" a="1"/>
  <c r="F12" i="9" s="1"/>
  <c r="F3" i="9" a="1"/>
  <c r="F3" i="9" s="1"/>
  <c r="F367" i="9" a="1"/>
  <c r="F367" i="9" s="1"/>
  <c r="F316" i="9" a="1"/>
  <c r="F316" i="9" s="1"/>
  <c r="F167" i="9" a="1"/>
  <c r="F167" i="9" s="1"/>
  <c r="F110" i="9" a="1"/>
  <c r="F110" i="9" s="1"/>
  <c r="F260" i="9" a="1"/>
  <c r="F260" i="9" s="1"/>
  <c r="F236" i="9" a="1"/>
  <c r="F236" i="9" s="1"/>
  <c r="F178" i="9" a="1"/>
  <c r="F178" i="9" s="1"/>
  <c r="F315" i="9" a="1"/>
  <c r="F315" i="9" s="1"/>
  <c r="F308" i="9" a="1"/>
  <c r="F308" i="9" s="1"/>
  <c r="F247" i="9" a="1"/>
  <c r="F247" i="9" s="1"/>
  <c r="F130" i="9" a="1"/>
  <c r="F130" i="9" s="1"/>
  <c r="F94" i="9" a="1"/>
  <c r="F94" i="9" s="1"/>
  <c r="F79" i="9" a="1"/>
  <c r="F79" i="9" s="1"/>
  <c r="F65" i="9" a="1"/>
  <c r="F65" i="9" s="1"/>
  <c r="F56" i="9" a="1"/>
  <c r="F56" i="9" s="1"/>
  <c r="F47" i="9" a="1"/>
  <c r="F47" i="9" s="1"/>
  <c r="F38" i="9" a="1"/>
  <c r="F38" i="9" s="1"/>
  <c r="F29" i="9" a="1"/>
  <c r="F29" i="9" s="1"/>
  <c r="F20" i="9" a="1"/>
  <c r="F20" i="9" s="1"/>
  <c r="F244" i="9" a="1"/>
  <c r="F244" i="9" s="1"/>
  <c r="F143" i="9" a="1"/>
  <c r="F143" i="9" s="1"/>
  <c r="F353" i="9" a="1"/>
  <c r="F353" i="9" s="1"/>
  <c r="F327" i="9" a="1"/>
  <c r="F327" i="9" s="1"/>
  <c r="F289" i="9" a="1"/>
  <c r="F289" i="9" s="1"/>
  <c r="F283" i="9" a="1"/>
  <c r="F283" i="9" s="1"/>
  <c r="F277" i="9" a="1"/>
  <c r="F277" i="9" s="1"/>
  <c r="F229" i="9" a="1"/>
  <c r="F229" i="9" s="1"/>
  <c r="F223" i="9" a="1"/>
  <c r="F223" i="9" s="1"/>
  <c r="F151" i="9" a="1"/>
  <c r="F151" i="9" s="1"/>
  <c r="F146" i="9" a="1"/>
  <c r="F146" i="9" s="1"/>
  <c r="F89" i="9" a="1"/>
  <c r="F89" i="9" s="1"/>
  <c r="F74" i="9" a="1"/>
  <c r="F74" i="9" s="1"/>
  <c r="F69" i="9" a="1"/>
  <c r="F69" i="9" s="1"/>
  <c r="F60" i="9" a="1"/>
  <c r="F60" i="9" s="1"/>
  <c r="F51" i="9" a="1"/>
  <c r="F51" i="9" s="1"/>
  <c r="F42" i="9" a="1"/>
  <c r="F42" i="9" s="1"/>
  <c r="F33" i="9" a="1"/>
  <c r="F33" i="9" s="1"/>
  <c r="F24" i="9" a="1"/>
  <c r="F24" i="9" s="1"/>
  <c r="F15" i="9" a="1"/>
  <c r="F15" i="9" s="1"/>
  <c r="F6" i="9" a="1"/>
  <c r="F6" i="9" s="1"/>
  <c r="F206" i="9" a="1"/>
  <c r="F206" i="9" s="1"/>
  <c r="F188" i="9" a="1"/>
  <c r="F188" i="9" s="1"/>
  <c r="F182" i="9" a="1"/>
  <c r="F182" i="9" s="1"/>
  <c r="F166" i="9" a="1"/>
  <c r="F166" i="9" s="1"/>
  <c r="F118" i="9" a="1"/>
  <c r="F118" i="9" s="1"/>
  <c r="F256" i="9" a="1"/>
  <c r="F256" i="9" s="1"/>
  <c r="F359" i="9" a="1"/>
  <c r="F359" i="9" s="1"/>
  <c r="F351" i="9" a="1"/>
  <c r="F351" i="9" s="1"/>
  <c r="F275" i="9" a="1"/>
  <c r="F275" i="9" s="1"/>
  <c r="F251" i="9" a="1"/>
  <c r="F251" i="9" s="1"/>
  <c r="F193" i="9" a="1"/>
  <c r="F193" i="9" s="1"/>
  <c r="F128" i="9" a="1"/>
  <c r="F128" i="9" s="1"/>
  <c r="F68" i="9" a="1"/>
  <c r="F68" i="9" s="1"/>
  <c r="F59" i="9" a="1"/>
  <c r="F59" i="9" s="1"/>
  <c r="F50" i="9" a="1"/>
  <c r="F50" i="9" s="1"/>
  <c r="F41" i="9" a="1"/>
  <c r="F41" i="9" s="1"/>
  <c r="F32" i="9" a="1"/>
  <c r="F32" i="9" s="1"/>
  <c r="F23" i="9" a="1"/>
  <c r="F23" i="9" s="1"/>
  <c r="F14" i="9" a="1"/>
  <c r="F14" i="9" s="1"/>
  <c r="F5" i="9" a="1"/>
  <c r="F5" i="9" s="1"/>
  <c r="F127" i="9" a="1"/>
  <c r="F127" i="9" s="1"/>
  <c r="F325" i="9" a="1"/>
  <c r="F325" i="9" s="1"/>
  <c r="F319" i="9" a="1"/>
  <c r="F319" i="9" s="1"/>
  <c r="F312" i="9" a="1"/>
  <c r="F312" i="9" s="1"/>
  <c r="F306" i="9" a="1"/>
  <c r="F306" i="9" s="1"/>
  <c r="F245" i="9" a="1"/>
  <c r="F245" i="9" s="1"/>
  <c r="F133" i="9" a="1"/>
  <c r="F133" i="9" s="1"/>
  <c r="F107" i="9" a="1"/>
  <c r="F107" i="9" s="1"/>
  <c r="F97" i="9" a="1"/>
  <c r="F97" i="9" s="1"/>
  <c r="F92" i="9" a="1"/>
  <c r="F92" i="9" s="1"/>
  <c r="F82" i="9" a="1"/>
  <c r="F82" i="9" s="1"/>
  <c r="F63" i="9" a="1"/>
  <c r="F63" i="9" s="1"/>
  <c r="F54" i="9" a="1"/>
  <c r="F54" i="9" s="1"/>
  <c r="F45" i="9" a="1"/>
  <c r="F45" i="9" s="1"/>
  <c r="F36" i="9" a="1"/>
  <c r="F36" i="9" s="1"/>
  <c r="F27" i="9" a="1"/>
  <c r="F27" i="9" s="1"/>
  <c r="F18" i="9" a="1"/>
  <c r="F18" i="9" s="1"/>
  <c r="F9" i="9" a="1"/>
  <c r="F9" i="9" s="1"/>
  <c r="F343" i="9" a="1"/>
  <c r="F343" i="9" s="1"/>
  <c r="F287" i="9" a="1"/>
  <c r="F287" i="9" s="1"/>
  <c r="F221" i="9" a="1"/>
  <c r="F221" i="9" s="1"/>
  <c r="F215" i="9" a="1"/>
  <c r="F215" i="9" s="1"/>
  <c r="F169" i="9" a="1"/>
  <c r="F169" i="9" s="1"/>
  <c r="F164" i="9" a="1"/>
  <c r="F164" i="9" s="1"/>
  <c r="F154" i="9" a="1"/>
  <c r="F154" i="9" s="1"/>
  <c r="F83" i="9" a="1"/>
  <c r="F83" i="9" s="1"/>
  <c r="F28" i="9" a="1"/>
  <c r="F28" i="9" s="1"/>
  <c r="F73" i="9" a="1"/>
  <c r="F73" i="9" s="1"/>
  <c r="F239" i="9" a="1"/>
  <c r="F239" i="9" s="1"/>
  <c r="F238" i="9" a="1"/>
  <c r="F238" i="9" s="1"/>
  <c r="F58" i="9" a="1"/>
  <c r="F58" i="9" s="1"/>
  <c r="F430" i="9" a="1"/>
  <c r="F430" i="9" s="1"/>
  <c r="F513" i="9" a="1"/>
  <c r="F513" i="9" s="1"/>
  <c r="F456" i="9" a="1"/>
  <c r="F456" i="9" s="1"/>
  <c r="F450" i="9" a="1"/>
  <c r="F450" i="9" s="1"/>
  <c r="F521" i="9" a="1"/>
  <c r="F521" i="9" s="1"/>
  <c r="F464" i="9" a="1"/>
  <c r="F464" i="9" s="1"/>
  <c r="F443" i="9" a="1"/>
  <c r="F443" i="9" s="1"/>
  <c r="F336" i="9" a="1"/>
  <c r="F336" i="9" s="1"/>
  <c r="F156" i="9" a="1"/>
  <c r="F156" i="9" s="1"/>
  <c r="F180" i="9" a="1"/>
  <c r="F180" i="9" s="1"/>
  <c r="F293" i="9" a="1"/>
  <c r="F293" i="9" s="1"/>
  <c r="F93" i="9" a="1"/>
  <c r="F93" i="9" s="1"/>
  <c r="F461" i="9" a="1"/>
  <c r="F461" i="9" s="1"/>
  <c r="F375" i="9" a="1"/>
  <c r="F375" i="9" s="1"/>
  <c r="F279" i="9" a="1"/>
  <c r="F279" i="9" s="1"/>
  <c r="F248" i="9" a="1"/>
  <c r="F248" i="9" s="1"/>
  <c r="F132" i="9" a="1"/>
  <c r="F132" i="9" s="1"/>
  <c r="F497" i="9" a="1"/>
  <c r="F497" i="9" s="1"/>
  <c r="F313" i="9" a="1"/>
  <c r="F313" i="9" s="1"/>
  <c r="F506" i="9" a="1"/>
  <c r="F506" i="9" s="1"/>
  <c r="F276" i="9" a="1"/>
  <c r="F276" i="9" s="1"/>
  <c r="F292" i="9" a="1"/>
  <c r="F292" i="9" s="1"/>
  <c r="F234" i="9" a="1"/>
  <c r="F234" i="9" s="1"/>
  <c r="F390" i="9" a="1"/>
  <c r="F390" i="9" s="1"/>
  <c r="F368" i="9" a="1"/>
  <c r="F368" i="9" s="1"/>
  <c r="F274" i="9" a="1"/>
  <c r="F274" i="9" s="1"/>
  <c r="F111" i="9" a="1"/>
  <c r="F111" i="9" s="1"/>
  <c r="F249" i="9" a="1"/>
  <c r="F249" i="9" s="1"/>
  <c r="F225" i="9" a="1"/>
  <c r="F225" i="9" s="1"/>
  <c r="F347" i="9" a="1"/>
  <c r="F347" i="9" s="1"/>
  <c r="F75" i="9" a="1"/>
  <c r="F75" i="9" s="1"/>
  <c r="F334" i="9" a="1"/>
  <c r="F334" i="9" s="1"/>
  <c r="F119" i="9" a="1"/>
  <c r="F119" i="9" s="1"/>
  <c r="F212" i="9" a="1"/>
  <c r="F212" i="9" s="1"/>
  <c r="F138" i="9" a="1"/>
  <c r="F138" i="9" s="1"/>
  <c r="F252" i="9" a="1"/>
  <c r="F252" i="9" s="1"/>
  <c r="F19" i="9" a="1"/>
  <c r="F19" i="9" s="1"/>
  <c r="F307" i="9" a="1"/>
  <c r="F307" i="9" s="1"/>
  <c r="F96" i="9" a="1"/>
  <c r="F96" i="9" s="1"/>
  <c r="F186" i="9" a="1"/>
  <c r="F186" i="9" s="1"/>
  <c r="F4" i="9" a="1"/>
  <c r="F4" i="9" s="1"/>
  <c r="F197" i="9" a="1"/>
  <c r="F197" i="9" s="1"/>
  <c r="F196" i="9" a="1"/>
  <c r="F196" i="9" s="1"/>
  <c r="F328" i="9" a="1"/>
  <c r="F328" i="9" s="1"/>
  <c r="F67" i="9" a="1"/>
  <c r="F67" i="9" s="1"/>
  <c r="F145" i="9" a="1"/>
  <c r="F145" i="9" s="1"/>
  <c r="F294" i="9" a="1"/>
  <c r="F294" i="9" s="1"/>
  <c r="F330" i="9" a="1"/>
  <c r="F330" i="9" s="1"/>
  <c r="F216" i="9" a="1"/>
  <c r="F216" i="9" s="1"/>
  <c r="F181" i="9" a="1"/>
  <c r="F181" i="9" s="1"/>
  <c r="F259" i="9" a="1"/>
  <c r="F259" i="9" s="1"/>
  <c r="F230" i="9" a="1"/>
  <c r="F230" i="9" s="1"/>
  <c r="F282" i="9" a="1"/>
  <c r="F282" i="9" s="1"/>
  <c r="F358" i="9" a="1"/>
  <c r="F358" i="9" s="1"/>
  <c r="F268" i="9" a="1"/>
  <c r="F268" i="9" s="1"/>
  <c r="F529" i="9" a="1"/>
  <c r="F529" i="9" s="1"/>
  <c r="F493" i="9" a="1"/>
  <c r="F493" i="9" s="1"/>
  <c r="F457" i="9" a="1"/>
  <c r="F457" i="9" s="1"/>
  <c r="F421" i="9" a="1"/>
  <c r="F421" i="9" s="1"/>
  <c r="F504" i="9" a="1"/>
  <c r="F504" i="9" s="1"/>
  <c r="F477" i="9" a="1"/>
  <c r="F477" i="9" s="1"/>
  <c r="F462" i="9" a="1"/>
  <c r="F462" i="9" s="1"/>
  <c r="F388" i="9" a="1"/>
  <c r="F388" i="9" s="1"/>
  <c r="F237" i="9" a="1"/>
  <c r="F237" i="9" s="1"/>
  <c r="F385" i="9" a="1"/>
  <c r="F385" i="9" s="1"/>
  <c r="F527" i="9" a="1"/>
  <c r="F527" i="9" s="1"/>
  <c r="F123" i="9" a="1"/>
  <c r="F123" i="9" s="1"/>
  <c r="F90" i="9" a="1"/>
  <c r="F90" i="9" s="1"/>
  <c r="F372" i="9" a="1"/>
  <c r="F372" i="9" s="1"/>
  <c r="F271" i="9" a="1"/>
  <c r="F271" i="9" s="1"/>
  <c r="F106" i="9" a="1"/>
  <c r="F106" i="9" s="1"/>
  <c r="F179" i="9" a="1"/>
  <c r="F179" i="9" s="1"/>
  <c r="F173" i="9" a="1"/>
  <c r="F173" i="9" s="1"/>
  <c r="F70" i="9" a="1"/>
  <c r="F70" i="9" s="1"/>
  <c r="F303" i="9" a="1"/>
  <c r="F303" i="9" s="1"/>
  <c r="F411" i="9" a="1"/>
  <c r="F411" i="9" s="1"/>
  <c r="F64" i="9" a="1"/>
  <c r="F64" i="9" s="1"/>
  <c r="F10" i="9" a="1"/>
  <c r="F10" i="9" s="1"/>
  <c r="F288" i="9" a="1"/>
  <c r="F288" i="9" s="1"/>
  <c r="F205" i="9" a="1"/>
  <c r="F205" i="9" s="1"/>
  <c r="F378" i="9" a="1"/>
  <c r="F378" i="9" s="1"/>
  <c r="F140" i="9" a="1"/>
  <c r="F140" i="9" s="1"/>
  <c r="F501" i="9" a="1"/>
  <c r="F501" i="9" s="1"/>
  <c r="F483" i="9" a="1"/>
  <c r="F483" i="9" s="1"/>
  <c r="F453" i="9" a="1"/>
  <c r="F453" i="9" s="1"/>
  <c r="F383" i="9" a="1"/>
  <c r="F383" i="9" s="1"/>
  <c r="F201" i="9" a="1"/>
  <c r="F201" i="9" s="1"/>
  <c r="F405" i="9" a="1"/>
  <c r="F405" i="9" s="1"/>
  <c r="F423" i="9" a="1"/>
  <c r="F423" i="9" s="1"/>
  <c r="F452" i="9" a="1"/>
  <c r="F452" i="9" s="1"/>
  <c r="F232" i="9" a="1"/>
  <c r="F232" i="9" s="1"/>
  <c r="F84" i="9" a="1"/>
  <c r="F84" i="9" s="1"/>
  <c r="F87" i="9" a="1"/>
  <c r="F87" i="9" s="1"/>
  <c r="F228" i="9" a="1"/>
  <c r="F228" i="9" s="1"/>
  <c r="F246" i="9" a="1"/>
  <c r="F246" i="9" s="1"/>
  <c r="F198" i="9" a="1"/>
  <c r="F198" i="9" s="1"/>
  <c r="F441" i="9" a="1"/>
  <c r="F441" i="9" s="1"/>
  <c r="F204" i="9" a="1"/>
  <c r="F204" i="9" s="1"/>
  <c r="F267" i="9" a="1"/>
  <c r="F267" i="9" s="1"/>
  <c r="F349" i="9" a="1"/>
  <c r="F349" i="9" s="1"/>
  <c r="F101" i="9" a="1"/>
  <c r="F101" i="9" s="1"/>
  <c r="F190" i="9" a="1"/>
  <c r="F190" i="9" s="1"/>
  <c r="F171" i="9" a="1"/>
  <c r="F171" i="9" s="1"/>
  <c r="F360" i="9" a="1"/>
  <c r="F360" i="9" s="1"/>
  <c r="F299" i="9" a="1"/>
  <c r="F299" i="9" s="1"/>
  <c r="F49" i="9" a="1"/>
  <c r="F49" i="9" s="1"/>
  <c r="F337" i="9" a="1"/>
  <c r="F337" i="9" s="1"/>
  <c r="F122" i="9" a="1"/>
  <c r="F122" i="9" s="1"/>
  <c r="F163" i="9" a="1"/>
  <c r="F163" i="9" s="1"/>
  <c r="F451" i="9" a="1"/>
  <c r="F451" i="9" s="1"/>
  <c r="F468" i="9" a="1"/>
  <c r="F468" i="9" s="1"/>
  <c r="F533" i="9" a="1"/>
  <c r="F533" i="9" s="1"/>
  <c r="F403" i="9" a="1"/>
  <c r="F403" i="9" s="1"/>
  <c r="F435" i="9" a="1"/>
  <c r="F435" i="9" s="1"/>
  <c r="F210" i="9" a="1"/>
  <c r="F210" i="9" s="1"/>
  <c r="F437" i="9" a="1"/>
  <c r="F437" i="9" s="1"/>
  <c r="F231" i="9" a="1"/>
  <c r="F231" i="9" s="1"/>
  <c r="F217" i="9" a="1"/>
  <c r="F217" i="9" s="1"/>
  <c r="F235" i="9" a="1"/>
  <c r="F235" i="9" s="1"/>
  <c r="F194" i="9" a="1"/>
  <c r="F194" i="9" s="1"/>
  <c r="F189" i="9" a="1"/>
  <c r="F189" i="9" s="1"/>
  <c r="F174" i="9" a="1"/>
  <c r="F174" i="9" s="1"/>
  <c r="F226" i="9" a="1"/>
  <c r="F226" i="9" s="1"/>
  <c r="F153" i="9" a="1"/>
  <c r="F153" i="9" s="1"/>
  <c r="F61" i="9" a="1"/>
  <c r="F61" i="9" s="1"/>
  <c r="F284" i="9" a="1"/>
  <c r="F284" i="9" s="1"/>
  <c r="F2" i="9" a="1"/>
  <c r="F2" i="9" s="1"/>
  <c r="F352" i="9" a="1"/>
  <c r="F352" i="9" s="1"/>
  <c r="F55" i="9" a="1"/>
  <c r="F55" i="9" s="1"/>
  <c r="F240" i="9" a="1"/>
  <c r="F240" i="9" s="1"/>
  <c r="F371" i="9" a="1"/>
  <c r="F371" i="9" s="1"/>
  <c r="F263" i="9" a="1"/>
  <c r="F263" i="9" s="1"/>
  <c r="F117" i="9" a="1"/>
  <c r="F117" i="9" s="1"/>
  <c r="F104" i="9" a="1"/>
  <c r="F104" i="9" s="1"/>
  <c r="F490" i="9" a="1"/>
  <c r="F490" i="9" s="1"/>
  <c r="F454" i="9" a="1"/>
  <c r="F454" i="9" s="1"/>
  <c r="F487" i="9" a="1"/>
  <c r="F487" i="9" s="1"/>
  <c r="F534" i="9" a="1"/>
  <c r="F534" i="9" s="1"/>
  <c r="F498" i="9" a="1"/>
  <c r="F498" i="9" s="1"/>
  <c r="F406" i="9" a="1"/>
  <c r="F406" i="9" s="1"/>
  <c r="F444" i="9" a="1"/>
  <c r="F444" i="9" s="1"/>
  <c r="F354" i="9" a="1"/>
  <c r="F354" i="9" s="1"/>
  <c r="F500" i="9" a="1"/>
  <c r="F500" i="9" s="1"/>
  <c r="F520" i="9" a="1"/>
  <c r="F520" i="9" s="1"/>
  <c r="F484" i="9" a="1"/>
  <c r="F484" i="9" s="1"/>
  <c r="F448" i="9" a="1"/>
  <c r="F448" i="9" s="1"/>
  <c r="F531" i="9" a="1"/>
  <c r="F531" i="9" s="1"/>
  <c r="F532" i="9" a="1"/>
  <c r="F532" i="9" s="1"/>
  <c r="F412" i="9" a="1"/>
  <c r="F412" i="9" s="1"/>
  <c r="F524" i="9" a="1"/>
  <c r="F524" i="9" s="1"/>
  <c r="F482" i="9" a="1"/>
  <c r="F482" i="9" s="1"/>
  <c r="F300" i="9" a="1"/>
  <c r="F300" i="9" s="1"/>
  <c r="F415" i="9" a="1"/>
  <c r="F415" i="9" s="1"/>
  <c r="F199" i="9" a="1"/>
  <c r="F199" i="9" s="1"/>
  <c r="F386" i="9" a="1"/>
  <c r="F386" i="9" s="1"/>
  <c r="F213" i="9" a="1"/>
  <c r="F213" i="9" s="1"/>
  <c r="F355" i="9" a="1"/>
  <c r="F355" i="9" s="1"/>
  <c r="F370" i="9" a="1"/>
  <c r="F370" i="9" s="1"/>
  <c r="F144" i="9" a="1"/>
  <c r="F144" i="9" s="1"/>
  <c r="F311" i="9" a="1"/>
  <c r="F311" i="9" s="1"/>
  <c r="F220" i="9" a="1"/>
  <c r="F220" i="9" s="1"/>
  <c r="F34" i="9" a="1"/>
  <c r="F34" i="9" s="1"/>
  <c r="F137" i="9" a="1"/>
  <c r="F137" i="9" s="1"/>
  <c r="F148" i="9" a="1"/>
  <c r="F148" i="9" s="1"/>
  <c r="F272" i="9" a="1"/>
  <c r="F272" i="9" s="1"/>
  <c r="F135" i="9" a="1"/>
  <c r="F135" i="9" s="1"/>
  <c r="F295" i="9" a="1"/>
  <c r="F295" i="9" s="1"/>
  <c r="F134" i="9" a="1"/>
  <c r="F134" i="9" s="1"/>
  <c r="F22" i="9" a="1"/>
  <c r="F22" i="9" s="1"/>
  <c r="F160" i="9" a="1"/>
  <c r="F160" i="9" s="1"/>
  <c r="F112" i="9" a="1"/>
  <c r="F112" i="9" s="1"/>
  <c r="F459" i="9" a="1"/>
  <c r="F459" i="9" s="1"/>
  <c r="F373" i="9" a="1"/>
  <c r="F373" i="9" s="1"/>
  <c r="F340" i="9" a="1"/>
  <c r="F340" i="9" s="1"/>
  <c r="F209" i="9" a="1"/>
  <c r="F209" i="9" s="1"/>
  <c r="F309" i="9" a="1"/>
  <c r="F309" i="9" s="1"/>
  <c r="F108" i="9" a="1"/>
  <c r="F108" i="9" s="1"/>
  <c r="F192" i="9" a="1"/>
  <c r="F192" i="9" s="1"/>
  <c r="F86" i="9" a="1"/>
  <c r="F86" i="9" s="1"/>
  <c r="F142" i="9" a="1"/>
  <c r="F142" i="9" s="1"/>
  <c r="F157" i="9" a="1"/>
  <c r="F157" i="9" s="1"/>
  <c r="F52" i="9" a="1"/>
  <c r="F52" i="9" s="1"/>
  <c r="F13" i="9" a="1"/>
  <c r="F13" i="9" s="1"/>
  <c r="F125" i="9" a="1"/>
  <c r="F125" i="9" s="1"/>
  <c r="F253" i="9" a="1"/>
  <c r="F253" i="9" s="1"/>
  <c r="F314" i="9" a="1"/>
  <c r="F314" i="9" s="1"/>
  <c r="F124" i="9" a="1"/>
  <c r="F124" i="9" s="1"/>
  <c r="F46" i="9" a="1"/>
  <c r="F46" i="9" s="1"/>
  <c r="F365" i="9" a="1"/>
  <c r="F365" i="9" s="1"/>
  <c r="F222" i="9" a="1"/>
  <c r="F222" i="9" s="1"/>
  <c r="F338" i="9" a="1"/>
  <c r="F338" i="9" s="1"/>
  <c r="F150" i="9" a="1"/>
  <c r="F150" i="9" s="1"/>
  <c r="F257" i="9" a="1"/>
  <c r="F257" i="9" s="1"/>
  <c r="F102" i="9" a="1"/>
  <c r="F102" i="9" s="1"/>
  <c r="F218" i="9" a="1"/>
  <c r="F218" i="9" s="1"/>
  <c r="F526" i="9" a="1"/>
  <c r="F526" i="9" s="1"/>
  <c r="F418" i="9" a="1"/>
  <c r="F418" i="9" s="1"/>
  <c r="F523" i="9" a="1"/>
  <c r="F523" i="9" s="1"/>
  <c r="F517" i="9" a="1"/>
  <c r="F517" i="9" s="1"/>
  <c r="F481" i="9" a="1"/>
  <c r="F481" i="9" s="1"/>
  <c r="F445" i="9" a="1"/>
  <c r="F445" i="9" s="1"/>
  <c r="F528" i="9" a="1"/>
  <c r="F528" i="9" s="1"/>
  <c r="F503" i="9" a="1"/>
  <c r="F503" i="9" s="1"/>
  <c r="F485" i="9" a="1"/>
  <c r="F485" i="9" s="1"/>
  <c r="F255" i="9" a="1"/>
  <c r="F255" i="9" s="1"/>
  <c r="F195" i="9" a="1"/>
  <c r="F195" i="9" s="1"/>
  <c r="F514" i="9" a="1"/>
  <c r="F514" i="9" s="1"/>
  <c r="F478" i="9" a="1"/>
  <c r="F478" i="9" s="1"/>
  <c r="F442" i="9" a="1"/>
  <c r="F442" i="9" s="1"/>
  <c r="F525" i="9" a="1"/>
  <c r="F525" i="9" s="1"/>
  <c r="F489" i="9" a="1"/>
  <c r="F489" i="9" s="1"/>
  <c r="F413" i="9" a="1"/>
  <c r="F413" i="9" s="1"/>
  <c r="F393" i="9" a="1"/>
  <c r="F393" i="9" s="1"/>
  <c r="F455" i="9" a="1"/>
  <c r="F455" i="9" s="1"/>
  <c r="F219" i="9" a="1"/>
  <c r="F219" i="9" s="1"/>
  <c r="F396" i="9" a="1"/>
  <c r="F396" i="9" s="1"/>
  <c r="F191" i="9" a="1"/>
  <c r="F191" i="9" s="1"/>
  <c r="F341" i="9" a="1"/>
  <c r="F341" i="9" s="1"/>
  <c r="F322" i="9" a="1"/>
  <c r="F322" i="9" s="1"/>
  <c r="F165" i="9" a="1"/>
  <c r="F165" i="9" s="1"/>
  <c r="F364" i="9" a="1"/>
  <c r="F364" i="9" s="1"/>
  <c r="F141" i="9" a="1"/>
  <c r="F141" i="9" s="1"/>
  <c r="F72" i="9" a="1"/>
  <c r="F72" i="9" s="1"/>
  <c r="F305" i="9" a="1"/>
  <c r="F305" i="9" s="1"/>
  <c r="F40" i="9" a="1"/>
  <c r="F40" i="9" s="1"/>
  <c r="F81" i="9" a="1"/>
  <c r="F81" i="9" s="1"/>
  <c r="F346" i="9" a="1"/>
  <c r="F346" i="9" s="1"/>
  <c r="F114" i="9" a="1"/>
  <c r="F114" i="9" s="1"/>
  <c r="F332" i="9" a="1"/>
  <c r="F332" i="9" s="1"/>
  <c r="F281" i="9" a="1"/>
  <c r="F281" i="9" s="1"/>
  <c r="F357" i="9" a="1"/>
  <c r="F357" i="9" s="1"/>
  <c r="F11" i="9" a="1"/>
  <c r="F11" i="9" s="1"/>
  <c r="F382" i="5" a="1"/>
  <c r="F382" i="5" s="1"/>
  <c r="F213" i="5" a="1"/>
  <c r="F213" i="5" s="1"/>
  <c r="F417" i="5" a="1"/>
  <c r="F417" i="5" s="1"/>
  <c r="F195" i="5" a="1"/>
  <c r="F195" i="5" s="1"/>
  <c r="F112" i="5" a="1"/>
  <c r="F112" i="5" s="1"/>
  <c r="F477" i="5" a="1"/>
  <c r="F477" i="5" s="1"/>
  <c r="F505" i="5" a="1"/>
  <c r="F505" i="5" s="1"/>
  <c r="F482" i="5" a="1"/>
  <c r="F482" i="5" s="1"/>
  <c r="F515" i="5" a="1"/>
  <c r="F515" i="5" s="1"/>
  <c r="F16" i="5" a="1"/>
  <c r="F16" i="5" s="1"/>
  <c r="F255" i="5" a="1"/>
  <c r="F255" i="5" s="1"/>
  <c r="F438" i="5" a="1"/>
  <c r="F438" i="5" s="1"/>
  <c r="F279" i="5" a="1"/>
  <c r="F279" i="5" s="1"/>
  <c r="F469" i="5" a="1"/>
  <c r="F469" i="5" s="1"/>
  <c r="F394" i="5" a="1"/>
  <c r="F394" i="5" s="1"/>
  <c r="F8" i="5" a="1"/>
  <c r="F8" i="5" s="1"/>
  <c r="F525" i="5" a="1"/>
  <c r="F525" i="5" s="1"/>
  <c r="F150" i="5" a="1"/>
  <c r="F150" i="5" s="1"/>
  <c r="F489" i="5" a="1"/>
  <c r="F489" i="5" s="1"/>
  <c r="F32" i="5" a="1"/>
  <c r="F32" i="5" s="1"/>
  <c r="F425" i="5" a="1"/>
  <c r="F425" i="5" s="1"/>
  <c r="F444" i="5" a="1"/>
  <c r="F444" i="5" s="1"/>
  <c r="F258" i="5" a="1"/>
  <c r="F258" i="5" s="1"/>
  <c r="F42" i="5" a="1"/>
  <c r="F42" i="5" s="1"/>
  <c r="F246" i="5" a="1"/>
  <c r="F246" i="5" s="1"/>
  <c r="F79" i="5" a="1"/>
  <c r="F79" i="5" s="1"/>
  <c r="F342" i="5" a="1"/>
  <c r="F342" i="5" s="1"/>
  <c r="F514" i="5" a="1"/>
  <c r="F514" i="5" s="1"/>
  <c r="F184" i="5" a="1"/>
  <c r="F184" i="5" s="1"/>
  <c r="F528" i="5" a="1"/>
  <c r="F528" i="5" s="1"/>
  <c r="F500" i="5" a="1"/>
  <c r="F500" i="5" s="1"/>
  <c r="F380" i="5" a="1"/>
  <c r="F380" i="5" s="1"/>
  <c r="F25" i="5" a="1"/>
  <c r="F25" i="5" s="1"/>
  <c r="F491" i="5" a="1"/>
  <c r="F491" i="5" s="1"/>
  <c r="F285" i="5" a="1"/>
  <c r="F285" i="5" s="1"/>
  <c r="F40" i="5" a="1"/>
  <c r="F40" i="5" s="1"/>
  <c r="F277" i="5" a="1"/>
  <c r="F277" i="5" s="1"/>
  <c r="F355" i="5" a="1"/>
  <c r="F355" i="5" s="1"/>
  <c r="F415" i="5" a="1"/>
  <c r="F415" i="5" s="1"/>
  <c r="F418" i="5" a="1"/>
  <c r="F418" i="5" s="1"/>
  <c r="F94" i="5" a="1"/>
  <c r="F94" i="5" s="1"/>
  <c r="F445" i="5" a="1"/>
  <c r="F445" i="5" s="1"/>
  <c r="F411" i="5" a="1"/>
  <c r="F411" i="5" s="1"/>
  <c r="F120" i="5" a="1"/>
  <c r="F120" i="5" s="1"/>
  <c r="F153" i="5" a="1"/>
  <c r="F153" i="5" s="1"/>
  <c r="F433" i="5" a="1"/>
  <c r="F433" i="5" s="1"/>
  <c r="F364" i="5" a="1"/>
  <c r="F364" i="5" s="1"/>
  <c r="F157" i="5" a="1"/>
  <c r="F157" i="5" s="1"/>
  <c r="F105" i="5" a="1"/>
  <c r="F105" i="5" s="1"/>
  <c r="F11" i="5" a="1"/>
  <c r="F11" i="5" s="1"/>
  <c r="F334" i="5" a="1"/>
  <c r="F334" i="5" s="1"/>
  <c r="F169" i="5" a="1"/>
  <c r="F169" i="5" s="1"/>
  <c r="F174" i="5" a="1"/>
  <c r="F174" i="5" s="1"/>
  <c r="F31" i="5" a="1"/>
  <c r="F31" i="5" s="1"/>
  <c r="F109" i="5" a="1"/>
  <c r="F109" i="5" s="1"/>
  <c r="F385" i="5" a="1"/>
  <c r="F385" i="5" s="1"/>
  <c r="F310" i="5" a="1"/>
  <c r="F310" i="5" s="1"/>
  <c r="F19" i="5" a="1"/>
  <c r="F19" i="5" s="1"/>
  <c r="F496" i="5" a="1"/>
  <c r="F496" i="5" s="1"/>
  <c r="F398" i="5" a="1"/>
  <c r="F398" i="5" s="1"/>
  <c r="F209" i="5" a="1"/>
  <c r="F209" i="5" s="1"/>
  <c r="F485" i="5" a="1"/>
  <c r="F485" i="5" s="1"/>
  <c r="F211" i="5" a="1"/>
  <c r="F211" i="5" s="1"/>
  <c r="F526" i="5" a="1"/>
  <c r="F526" i="5" s="1"/>
  <c r="F451" i="5" a="1"/>
  <c r="F451" i="5" s="1"/>
  <c r="F397" i="5" a="1"/>
  <c r="F397" i="5" s="1"/>
  <c r="F508" i="5" a="1"/>
  <c r="F508" i="5" s="1"/>
  <c r="F462" i="5" a="1"/>
  <c r="F462" i="5" s="1"/>
  <c r="F119" i="5" a="1"/>
  <c r="F119" i="5" s="1"/>
  <c r="F473" i="5" a="1"/>
  <c r="F473" i="5" s="1"/>
  <c r="F490" i="5" a="1"/>
  <c r="F490" i="5" s="1"/>
  <c r="F269" i="5" a="1"/>
  <c r="F269" i="5" s="1"/>
  <c r="F506" i="5" a="1"/>
  <c r="F506" i="5" s="1"/>
  <c r="F15" i="5" a="1"/>
  <c r="F15" i="5" s="1"/>
  <c r="F231" i="5" a="1"/>
  <c r="F231" i="5" s="1"/>
  <c r="F299" i="5" a="1"/>
  <c r="F299" i="5" s="1"/>
  <c r="F189" i="5" a="1"/>
  <c r="F189" i="5" s="1"/>
  <c r="F309" i="5" a="1"/>
  <c r="F309" i="5" s="1"/>
  <c r="F272" i="5" a="1"/>
  <c r="F272" i="5" s="1"/>
  <c r="F214" i="5" a="1"/>
  <c r="F214" i="5" s="1"/>
  <c r="F413" i="5" a="1"/>
  <c r="F413" i="5" s="1"/>
  <c r="F341" i="5" a="1"/>
  <c r="F341" i="5" s="1"/>
  <c r="F442" i="5" a="1"/>
  <c r="F442" i="5" s="1"/>
  <c r="F399" i="5" a="1"/>
  <c r="F399" i="5" s="1"/>
  <c r="F198" i="5" a="1"/>
  <c r="F198" i="5" s="1"/>
  <c r="F535" i="5" a="1"/>
  <c r="F535" i="5" s="1"/>
  <c r="F465" i="5" a="1"/>
  <c r="F465" i="5" s="1"/>
  <c r="F273" i="5" a="1"/>
  <c r="F273" i="5" s="1"/>
  <c r="F471" i="5" a="1"/>
  <c r="F471" i="5" s="1"/>
  <c r="F377" i="5" a="1"/>
  <c r="F377" i="5" s="1"/>
  <c r="F516" i="5" a="1"/>
  <c r="F516" i="5" s="1"/>
  <c r="F161" i="5" a="1"/>
  <c r="F161" i="5" s="1"/>
  <c r="F367" i="5" a="1"/>
  <c r="F367" i="5" s="1"/>
  <c r="F452" i="5" a="1"/>
  <c r="F452" i="5" s="1"/>
  <c r="F91" i="5" a="1"/>
  <c r="F91" i="5" s="1"/>
  <c r="F327" i="5" a="1"/>
  <c r="F327" i="5" s="1"/>
  <c r="F529" i="5" a="1"/>
  <c r="F529" i="5" s="1"/>
  <c r="F316" i="5" a="1"/>
  <c r="F316" i="5" s="1"/>
  <c r="F73" i="5" a="1"/>
  <c r="F73" i="5" s="1"/>
  <c r="F106" i="5" a="1"/>
  <c r="F106" i="5" s="1"/>
  <c r="F422" i="5" a="1"/>
  <c r="F422" i="5" s="1"/>
  <c r="F286" i="5" a="1"/>
  <c r="F286" i="5" s="1"/>
  <c r="F352" i="5" a="1"/>
  <c r="F352" i="5" s="1"/>
  <c r="F166" i="5" a="1"/>
  <c r="F166" i="5" s="1"/>
  <c r="F84" i="5" a="1"/>
  <c r="F84" i="5" s="1"/>
  <c r="F205" i="5" a="1"/>
  <c r="F205" i="5" s="1"/>
  <c r="F480" i="5" a="1"/>
  <c r="F480" i="5" s="1"/>
  <c r="F537" i="5" a="1"/>
  <c r="F537" i="5" s="1"/>
  <c r="F98" i="5" a="1"/>
  <c r="F98" i="5" s="1"/>
  <c r="F387" i="5" a="1"/>
  <c r="F387" i="5" s="1"/>
  <c r="F503" i="5" a="1"/>
  <c r="F503" i="5" s="1"/>
  <c r="F461" i="5" a="1"/>
  <c r="F461" i="5" s="1"/>
  <c r="F302" i="5" a="1"/>
  <c r="F302" i="5" s="1"/>
  <c r="F176" i="5" a="1"/>
  <c r="F176" i="5" s="1"/>
  <c r="F253" i="5" a="1"/>
  <c r="F253" i="5" s="1"/>
  <c r="F245" i="5" a="1"/>
  <c r="F245" i="5" s="1"/>
  <c r="F181" i="5" a="1"/>
  <c r="F181" i="5" s="1"/>
  <c r="F129" i="5" a="1"/>
  <c r="F129" i="5" s="1"/>
  <c r="F185" i="5" a="1"/>
  <c r="F185" i="5" s="1"/>
  <c r="F329" i="5" a="1"/>
  <c r="F329" i="5" s="1"/>
  <c r="F268" i="5" a="1"/>
  <c r="F268" i="5" s="1"/>
  <c r="F358" i="5" a="1"/>
  <c r="F358" i="5" s="1"/>
  <c r="F404" i="5" a="1"/>
  <c r="F404" i="5" s="1"/>
  <c r="F81" i="5" a="1"/>
  <c r="F81" i="5" s="1"/>
  <c r="F197" i="5" a="1"/>
  <c r="F197" i="5" s="1"/>
  <c r="F26" i="5" a="1"/>
  <c r="F26" i="5" s="1"/>
  <c r="F12" i="5" a="1"/>
  <c r="F12" i="5" s="1"/>
  <c r="F125" i="5" a="1"/>
  <c r="F125" i="5" s="1"/>
  <c r="F250" i="5" a="1"/>
  <c r="F250" i="5" s="1"/>
  <c r="F118" i="5" a="1"/>
  <c r="F118" i="5" s="1"/>
  <c r="F378" i="5" a="1"/>
  <c r="F378" i="5" s="1"/>
  <c r="F89" i="5" a="1"/>
  <c r="F89" i="5" s="1"/>
  <c r="F298" i="5" a="1"/>
  <c r="F298" i="5" s="1"/>
  <c r="F396" i="5" a="1"/>
  <c r="F396" i="5" s="1"/>
  <c r="F102" i="5" a="1"/>
  <c r="F102" i="5" s="1"/>
  <c r="F479" i="5" a="1"/>
  <c r="F479" i="5" s="1"/>
  <c r="F133" i="5" a="1"/>
  <c r="F133" i="5" s="1"/>
  <c r="F332" i="5" a="1"/>
  <c r="F332" i="5" s="1"/>
  <c r="F484" i="5" a="1"/>
  <c r="F484" i="5" s="1"/>
  <c r="F165" i="5" a="1"/>
  <c r="F165" i="5" s="1"/>
  <c r="F363" i="5" a="1"/>
  <c r="F363" i="5" s="1"/>
  <c r="F123" i="5" a="1"/>
  <c r="F123" i="5" s="1"/>
  <c r="F414" i="5" a="1"/>
  <c r="F414" i="5" s="1"/>
  <c r="F428" i="5" a="1"/>
  <c r="F428" i="5" s="1"/>
  <c r="F131" i="5" a="1"/>
  <c r="F131" i="5" s="1"/>
  <c r="F311" i="5" a="1"/>
  <c r="F311" i="5" s="1"/>
  <c r="F190" i="5" a="1"/>
  <c r="F190" i="5" s="1"/>
  <c r="F538" i="5" a="1"/>
  <c r="F538" i="5" s="1"/>
  <c r="F159" i="5" a="1"/>
  <c r="F159" i="5" s="1"/>
  <c r="F247" i="5" a="1"/>
  <c r="F247" i="5" s="1"/>
  <c r="F447" i="5" a="1"/>
  <c r="F447" i="5" s="1"/>
  <c r="F291" i="5" a="1"/>
  <c r="F291" i="5" s="1"/>
  <c r="F241" i="5" a="1"/>
  <c r="F241" i="5" s="1"/>
  <c r="F416" i="5" a="1"/>
  <c r="F416" i="5" s="1"/>
  <c r="F66" i="5" a="1"/>
  <c r="F66" i="5" s="1"/>
  <c r="F239" i="5" a="1"/>
  <c r="F239" i="5" s="1"/>
  <c r="F410" i="5" a="1"/>
  <c r="F410" i="5" s="1"/>
  <c r="F162" i="5" a="1"/>
  <c r="F162" i="5" s="1"/>
  <c r="F351" i="5" a="1"/>
  <c r="F351" i="5" s="1"/>
  <c r="F65" i="5" a="1"/>
  <c r="F65" i="5" s="1"/>
  <c r="F41" i="5" a="1"/>
  <c r="F41" i="5" s="1"/>
  <c r="F280" i="5" a="1"/>
  <c r="F280" i="5" s="1"/>
  <c r="F301" i="5" a="1"/>
  <c r="F301" i="5" s="1"/>
  <c r="F217" i="5" a="1"/>
  <c r="F217" i="5" s="1"/>
  <c r="F314" i="5" a="1"/>
  <c r="F314" i="5" s="1"/>
  <c r="F63" i="5" a="1"/>
  <c r="F63" i="5" s="1"/>
  <c r="F56" i="5" a="1"/>
  <c r="F56" i="5" s="1"/>
  <c r="F353" i="5" a="1"/>
  <c r="F353" i="5" s="1"/>
  <c r="F324" i="5" a="1"/>
  <c r="F324" i="5" s="1"/>
  <c r="F30" i="5" a="1"/>
  <c r="F30" i="5" s="1"/>
  <c r="F36" i="5" a="1"/>
  <c r="F36" i="5" s="1"/>
  <c r="F57" i="5" a="1"/>
  <c r="F57" i="5" s="1"/>
  <c r="F51" i="5" a="1"/>
  <c r="F51" i="5" s="1"/>
  <c r="F187" i="5" a="1"/>
  <c r="F187" i="5" s="1"/>
  <c r="F24" i="5" a="1"/>
  <c r="F24" i="5" s="1"/>
  <c r="F221" i="5" a="1"/>
  <c r="F221" i="5" s="1"/>
  <c r="F130" i="5" a="1"/>
  <c r="F130" i="5" s="1"/>
  <c r="F92" i="5" a="1"/>
  <c r="F92" i="5" s="1"/>
  <c r="F287" i="5" a="1"/>
  <c r="F287" i="5" s="1"/>
  <c r="F333" i="5" a="1"/>
  <c r="F333" i="5" s="1"/>
  <c r="F206" i="5" a="1"/>
  <c r="F206" i="5" s="1"/>
  <c r="F76" i="5" a="1"/>
  <c r="F76" i="5" s="1"/>
  <c r="F457" i="5" a="1"/>
  <c r="F457" i="5" s="1"/>
  <c r="F202" i="5" a="1"/>
  <c r="F202" i="5" s="1"/>
  <c r="F408" i="5" a="1"/>
  <c r="F408" i="5" s="1"/>
  <c r="F215" i="5" a="1"/>
  <c r="F215" i="5" s="1"/>
  <c r="F186" i="5" a="1"/>
  <c r="F186" i="5" s="1"/>
  <c r="F276" i="5" a="1"/>
  <c r="F276" i="5" s="1"/>
  <c r="F103" i="5" a="1"/>
  <c r="F103" i="5" s="1"/>
  <c r="F507" i="5" a="1"/>
  <c r="F507" i="5" s="1"/>
  <c r="F13" i="5" a="1"/>
  <c r="F13" i="5" s="1"/>
  <c r="F472" i="5" a="1"/>
  <c r="F472" i="5" s="1"/>
  <c r="F517" i="5" a="1"/>
  <c r="F517" i="5" s="1"/>
  <c r="F321" i="5" a="1"/>
  <c r="F321" i="5" s="1"/>
  <c r="F168" i="5" a="1"/>
  <c r="F168" i="5" s="1"/>
  <c r="F539" i="5" a="1"/>
  <c r="F539" i="5" s="1"/>
  <c r="F384" i="5" a="1"/>
  <c r="F384" i="5" s="1"/>
  <c r="F218" i="5" a="1"/>
  <c r="F218" i="5" s="1"/>
  <c r="F381" i="5" a="1"/>
  <c r="F381" i="5" s="1"/>
  <c r="F376" i="5" a="1"/>
  <c r="F376" i="5" s="1"/>
  <c r="F498" i="5" a="1"/>
  <c r="F498" i="5" s="1"/>
  <c r="F262" i="5" a="1"/>
  <c r="F262" i="5" s="1"/>
  <c r="F249" i="5" a="1"/>
  <c r="F249" i="5" s="1"/>
  <c r="F294" i="5" a="1"/>
  <c r="F294" i="5" s="1"/>
  <c r="F379" i="5" a="1"/>
  <c r="F379" i="5" s="1"/>
  <c r="F360" i="5" a="1"/>
  <c r="F360" i="5" s="1"/>
  <c r="F403" i="5" a="1"/>
  <c r="F403" i="5" s="1"/>
  <c r="F179" i="5" a="1"/>
  <c r="F179" i="5" s="1"/>
  <c r="F340" i="5" a="1"/>
  <c r="F340" i="5" s="1"/>
  <c r="F439" i="5" a="1"/>
  <c r="F439" i="5" s="1"/>
  <c r="F356" i="5" a="1"/>
  <c r="F356" i="5" s="1"/>
  <c r="F308" i="5" a="1"/>
  <c r="F308" i="5" s="1"/>
  <c r="F531" i="5" a="1"/>
  <c r="F531" i="5" s="1"/>
  <c r="F138" i="5" a="1"/>
  <c r="F138" i="5" s="1"/>
  <c r="F108" i="5" a="1"/>
  <c r="F108" i="5" s="1"/>
  <c r="F224" i="5" a="1"/>
  <c r="F224" i="5" s="1"/>
  <c r="F509" i="5" a="1"/>
  <c r="F509" i="5" s="1"/>
  <c r="F432" i="5" a="1"/>
  <c r="F432" i="5" s="1"/>
  <c r="F522" i="5" a="1"/>
  <c r="F522" i="5" s="1"/>
  <c r="F115" i="5" a="1"/>
  <c r="F115" i="5" s="1"/>
  <c r="F323" i="5" a="1"/>
  <c r="F323" i="5" s="1"/>
  <c r="F263" i="5" a="1"/>
  <c r="F263" i="5" s="1"/>
  <c r="F481" i="5" a="1"/>
  <c r="F481" i="5" s="1"/>
  <c r="F114" i="5" a="1"/>
  <c r="F114" i="5" s="1"/>
  <c r="F391" i="5" a="1"/>
  <c r="F391" i="5" s="1"/>
  <c r="F126" i="5" a="1"/>
  <c r="F126" i="5" s="1"/>
  <c r="F455" i="5" a="1"/>
  <c r="F455" i="5" s="1"/>
  <c r="F266" i="5" a="1"/>
  <c r="F266" i="5" s="1"/>
  <c r="F22" i="5" a="1"/>
  <c r="F22" i="5" s="1"/>
  <c r="F82" i="5" a="1"/>
  <c r="F82" i="5" s="1"/>
  <c r="F365" i="5" a="1"/>
  <c r="F365" i="5" s="1"/>
  <c r="F93" i="5" a="1"/>
  <c r="F93" i="5" s="1"/>
  <c r="F46" i="5" a="1"/>
  <c r="F46" i="5" s="1"/>
  <c r="F194" i="5" a="1"/>
  <c r="F194" i="5" s="1"/>
  <c r="F354" i="5" a="1"/>
  <c r="F354" i="5" s="1"/>
  <c r="F371" i="5" a="1"/>
  <c r="F371" i="5" s="1"/>
  <c r="F424" i="5" a="1"/>
  <c r="F424" i="5" s="1"/>
  <c r="F454" i="5" a="1"/>
  <c r="F454" i="5" s="1"/>
  <c r="F107" i="5" a="1"/>
  <c r="F107" i="5" s="1"/>
  <c r="F147" i="5" a="1"/>
  <c r="F147" i="5" s="1"/>
  <c r="F463" i="5" a="1"/>
  <c r="F463" i="5" s="1"/>
  <c r="F18" i="5" a="1"/>
  <c r="F18" i="5" s="1"/>
  <c r="F67" i="5" a="1"/>
  <c r="F67" i="5" s="1"/>
  <c r="F49" i="5" a="1"/>
  <c r="F49" i="5" s="1"/>
  <c r="F437" i="5" a="1"/>
  <c r="F437" i="5" s="1"/>
  <c r="F292" i="5" a="1"/>
  <c r="F292" i="5" s="1"/>
  <c r="F220" i="5" a="1"/>
  <c r="F220" i="5" s="1"/>
  <c r="F256" i="5" a="1"/>
  <c r="F256" i="5" s="1"/>
  <c r="F319" i="5" a="1"/>
  <c r="F319" i="5" s="1"/>
  <c r="F513" i="5" a="1"/>
  <c r="F513" i="5" s="1"/>
  <c r="F478" i="5" a="1"/>
  <c r="F478" i="5" s="1"/>
  <c r="F330" i="5" a="1"/>
  <c r="F330" i="5" s="1"/>
  <c r="F243" i="5" a="1"/>
  <c r="F243" i="5" s="1"/>
  <c r="F238" i="5" a="1"/>
  <c r="F238" i="5" s="1"/>
  <c r="F97" i="5" a="1"/>
  <c r="F97" i="5" s="1"/>
  <c r="F373" i="5" a="1"/>
  <c r="F373" i="5" s="1"/>
  <c r="F227" i="5" a="1"/>
  <c r="F227" i="5" s="1"/>
  <c r="F132" i="5" a="1"/>
  <c r="F132" i="5" s="1"/>
  <c r="F464" i="5" a="1"/>
  <c r="F464" i="5" s="1"/>
  <c r="F468" i="5" a="1"/>
  <c r="F468" i="5" s="1"/>
  <c r="F68" i="5" a="1"/>
  <c r="F68" i="5" s="1"/>
  <c r="F427" i="5" a="1"/>
  <c r="F427" i="5" s="1"/>
  <c r="F100" i="5" a="1"/>
  <c r="F100" i="5" s="1"/>
  <c r="F113" i="5" a="1"/>
  <c r="F113" i="5" s="1"/>
  <c r="F143" i="5" a="1"/>
  <c r="F143" i="5" s="1"/>
  <c r="F456" i="5" a="1"/>
  <c r="F456" i="5" s="1"/>
  <c r="F511" i="5" a="1"/>
  <c r="F511" i="5" s="1"/>
  <c r="F486" i="5" a="1"/>
  <c r="F486" i="5" s="1"/>
  <c r="F193" i="5" a="1"/>
  <c r="F193" i="5" s="1"/>
  <c r="F440" i="5" a="1"/>
  <c r="F440" i="5" s="1"/>
  <c r="F116" i="5" a="1"/>
  <c r="F116" i="5" s="1"/>
  <c r="F460" i="5" a="1"/>
  <c r="F460" i="5" s="1"/>
  <c r="F17" i="5" a="1"/>
  <c r="F17" i="5" s="1"/>
  <c r="F374" i="5" a="1"/>
  <c r="F374" i="5" s="1"/>
  <c r="F402" i="5" a="1"/>
  <c r="F402" i="5" s="1"/>
  <c r="F163" i="5" a="1"/>
  <c r="F163" i="5" s="1"/>
  <c r="F274" i="5" a="1"/>
  <c r="F274" i="5" s="1"/>
  <c r="F290" i="5" a="1"/>
  <c r="F290" i="5" s="1"/>
  <c r="F83" i="5" a="1"/>
  <c r="F83" i="5" s="1"/>
  <c r="F453" i="5" a="1"/>
  <c r="F453" i="5" s="1"/>
  <c r="F435" i="5" a="1"/>
  <c r="F435" i="5" s="1"/>
  <c r="F524" i="5" a="1"/>
  <c r="F524" i="5" s="1"/>
  <c r="F251" i="5" a="1"/>
  <c r="F251" i="5" s="1"/>
  <c r="F180" i="5" a="1"/>
  <c r="F180" i="5" s="1"/>
  <c r="F48" i="5" a="1"/>
  <c r="F48" i="5" s="1"/>
  <c r="F164" i="5" a="1"/>
  <c r="F164" i="5" s="1"/>
  <c r="F409" i="5" a="1"/>
  <c r="F409" i="5" s="1"/>
  <c r="F348" i="5" a="1"/>
  <c r="F348" i="5" s="1"/>
  <c r="F466" i="5" a="1"/>
  <c r="F466" i="5" s="1"/>
  <c r="F183" i="5" a="1"/>
  <c r="F183" i="5" s="1"/>
  <c r="F101" i="5" a="1"/>
  <c r="F101" i="5" s="1"/>
  <c r="F54" i="5" a="1"/>
  <c r="F54" i="5" s="1"/>
  <c r="F38" i="5" a="1"/>
  <c r="F38" i="5" s="1"/>
  <c r="F326" i="5" a="1"/>
  <c r="F326" i="5" s="1"/>
  <c r="F495" i="5" a="1"/>
  <c r="F495" i="5" s="1"/>
  <c r="F196" i="5" a="1"/>
  <c r="F196" i="5" s="1"/>
  <c r="F392" i="5" a="1"/>
  <c r="F392" i="5" s="1"/>
  <c r="F34" i="5" a="1"/>
  <c r="F34" i="5" s="1"/>
  <c r="F134" i="5" a="1"/>
  <c r="F134" i="5" s="1"/>
  <c r="F344" i="5" a="1"/>
  <c r="F344" i="5" s="1"/>
  <c r="F282" i="5" a="1"/>
  <c r="F282" i="5" s="1"/>
  <c r="F203" i="5" a="1"/>
  <c r="F203" i="5" s="1"/>
  <c r="F127" i="5" a="1"/>
  <c r="F127" i="5" s="1"/>
  <c r="F476" i="5" a="1"/>
  <c r="F476" i="5" s="1"/>
  <c r="F393" i="5" a="1"/>
  <c r="F393" i="5" s="1"/>
  <c r="F200" i="5" a="1"/>
  <c r="F200" i="5" s="1"/>
  <c r="F458" i="5" a="1"/>
  <c r="F458" i="5" s="1"/>
  <c r="F69" i="5" a="1"/>
  <c r="F69" i="5" s="1"/>
  <c r="F297" i="5" a="1"/>
  <c r="F297" i="5" s="1"/>
  <c r="F71" i="5" a="1"/>
  <c r="F71" i="5" s="1"/>
  <c r="F303" i="5" a="1"/>
  <c r="F303" i="5" s="1"/>
  <c r="F110" i="5" a="1"/>
  <c r="F110" i="5" s="1"/>
  <c r="F10" i="5" a="1"/>
  <c r="F10" i="5" s="1"/>
  <c r="F431" i="5" a="1"/>
  <c r="F431" i="5" s="1"/>
  <c r="F6" i="5" a="1"/>
  <c r="F6" i="5" s="1"/>
  <c r="F252" i="5" a="1"/>
  <c r="F252" i="5" s="1"/>
  <c r="F368" i="5" a="1"/>
  <c r="F368" i="5" s="1"/>
  <c r="F70" i="5" a="1"/>
  <c r="F70" i="5" s="1"/>
  <c r="F14" i="5" a="1"/>
  <c r="F14" i="5" s="1"/>
  <c r="F50" i="5" a="1"/>
  <c r="F50" i="5" s="1"/>
  <c r="F296" i="5" a="1"/>
  <c r="F296" i="5" s="1"/>
  <c r="F122" i="5" a="1"/>
  <c r="F122" i="5" s="1"/>
  <c r="F55" i="5" a="1"/>
  <c r="F55" i="5" s="1"/>
  <c r="F154" i="5" a="1"/>
  <c r="F154" i="5" s="1"/>
  <c r="F430" i="5" a="1"/>
  <c r="F430" i="5" s="1"/>
  <c r="F470" i="5" a="1"/>
  <c r="F470" i="5" s="1"/>
  <c r="F501" i="5" a="1"/>
  <c r="F501" i="5" s="1"/>
  <c r="F420" i="5" a="1"/>
  <c r="F420" i="5" s="1"/>
  <c r="F390" i="5" a="1"/>
  <c r="F390" i="5" s="1"/>
  <c r="F530" i="5" a="1"/>
  <c r="F530" i="5" s="1"/>
  <c r="F322" i="5" a="1"/>
  <c r="F322" i="5" s="1"/>
  <c r="F519" i="5" a="1"/>
  <c r="F519" i="5" s="1"/>
  <c r="F96" i="5" a="1"/>
  <c r="F96" i="5" s="1"/>
  <c r="F521" i="5" a="1"/>
  <c r="F521" i="5" s="1"/>
  <c r="F152" i="5" a="1"/>
  <c r="F152" i="5" s="1"/>
  <c r="F208" i="5" a="1"/>
  <c r="F208" i="5" s="1"/>
  <c r="F236" i="5" a="1"/>
  <c r="F236" i="5" s="1"/>
  <c r="F421" i="5" a="1"/>
  <c r="F421" i="5" s="1"/>
  <c r="F146" i="5" a="1"/>
  <c r="F146" i="5" s="1"/>
  <c r="F78" i="5" a="1"/>
  <c r="F78" i="5" s="1"/>
  <c r="F527" i="5" a="1"/>
  <c r="F527" i="5" s="1"/>
  <c r="F512" i="5" a="1"/>
  <c r="F512" i="5" s="1"/>
  <c r="F244" i="5" a="1"/>
  <c r="F244" i="5" s="1"/>
  <c r="F254" i="5" a="1"/>
  <c r="F254" i="5" s="1"/>
  <c r="F151" i="5" a="1"/>
  <c r="F151" i="5" s="1"/>
  <c r="F87" i="5" a="1"/>
  <c r="F87" i="5" s="1"/>
  <c r="F306" i="5" a="1"/>
  <c r="F306" i="5" s="1"/>
  <c r="F216" i="5" a="1"/>
  <c r="F216" i="5" s="1"/>
  <c r="F532" i="5" a="1"/>
  <c r="F532" i="5" s="1"/>
  <c r="F520" i="5" a="1"/>
  <c r="F520" i="5" s="1"/>
  <c r="F137" i="5" a="1"/>
  <c r="F137" i="5" s="1"/>
  <c r="F172" i="5" a="1"/>
  <c r="F172" i="5" s="1"/>
  <c r="F443" i="5" a="1"/>
  <c r="F443" i="5" s="1"/>
  <c r="F483" i="5" a="1"/>
  <c r="F483" i="5" s="1"/>
  <c r="F304" i="5" a="1"/>
  <c r="F304" i="5" s="1"/>
  <c r="F37" i="5" a="1"/>
  <c r="F37" i="5" s="1"/>
  <c r="F510" i="5" a="1"/>
  <c r="F510" i="5" s="1"/>
  <c r="F375" i="5" a="1"/>
  <c r="F375" i="5" s="1"/>
  <c r="F328" i="5" a="1"/>
  <c r="F328" i="5" s="1"/>
  <c r="F492" i="5" a="1"/>
  <c r="F492" i="5" s="1"/>
  <c r="F27" i="5" a="1"/>
  <c r="F27" i="5" s="1"/>
  <c r="F141" i="5" a="1"/>
  <c r="F141" i="5" s="1"/>
  <c r="F300" i="5" a="1"/>
  <c r="F300" i="5" s="1"/>
  <c r="F267" i="5" a="1"/>
  <c r="F267" i="5" s="1"/>
  <c r="F389" i="5" a="1"/>
  <c r="F389" i="5" s="1"/>
  <c r="F140" i="5" a="1"/>
  <c r="F140" i="5" s="1"/>
  <c r="F395" i="5" a="1"/>
  <c r="F395" i="5" s="1"/>
  <c r="F142" i="5" a="1"/>
  <c r="F142" i="5" s="1"/>
  <c r="F339" i="5" a="1"/>
  <c r="F339" i="5" s="1"/>
  <c r="F383" i="5" a="1"/>
  <c r="F383" i="5" s="1"/>
  <c r="F85" i="5" a="1"/>
  <c r="F85" i="5" s="1"/>
  <c r="F60" i="5" a="1"/>
  <c r="F60" i="5" s="1"/>
  <c r="F204" i="5" a="1"/>
  <c r="F204" i="5" s="1"/>
  <c r="F346" i="5" a="1"/>
  <c r="F346" i="5" s="1"/>
  <c r="F240" i="5" a="1"/>
  <c r="F240" i="5" s="1"/>
  <c r="F155" i="5" a="1"/>
  <c r="F155" i="5" s="1"/>
  <c r="F212" i="5" a="1"/>
  <c r="F212" i="5" s="1"/>
  <c r="F7" i="5" a="1"/>
  <c r="F7" i="5" s="1"/>
  <c r="F111" i="5" a="1"/>
  <c r="F111" i="5" s="1"/>
  <c r="F128" i="5" a="1"/>
  <c r="F128" i="5" s="1"/>
  <c r="F58" i="5" a="1"/>
  <c r="F58" i="5" s="1"/>
  <c r="F313" i="5" a="1"/>
  <c r="F313" i="5" s="1"/>
  <c r="F64" i="5" a="1"/>
  <c r="F64" i="5" s="1"/>
  <c r="F343" i="5" a="1"/>
  <c r="F343" i="5" s="1"/>
  <c r="F149" i="5" a="1"/>
  <c r="F149" i="5" s="1"/>
  <c r="F121" i="5" a="1"/>
  <c r="F121" i="5" s="1"/>
  <c r="F475" i="5" a="1"/>
  <c r="F475" i="5" s="1"/>
  <c r="F441" i="5" a="1"/>
  <c r="F441" i="5" s="1"/>
  <c r="F305" i="5" a="1"/>
  <c r="F305" i="5" s="1"/>
  <c r="F191" i="5" a="1"/>
  <c r="F191" i="5" s="1"/>
  <c r="F45" i="5" a="1"/>
  <c r="F45" i="5" s="1"/>
  <c r="F357" i="5" a="1"/>
  <c r="F357" i="5" s="1"/>
  <c r="F419" i="5" a="1"/>
  <c r="F419" i="5" s="1"/>
  <c r="F104" i="5" a="1"/>
  <c r="F104" i="5" s="1"/>
  <c r="F33" i="5" a="1"/>
  <c r="F33" i="5" s="1"/>
  <c r="F72" i="5" a="1"/>
  <c r="F72" i="5" s="1"/>
  <c r="F400" i="5" a="1"/>
  <c r="F400" i="5" s="1"/>
  <c r="F337" i="5" a="1"/>
  <c r="F337" i="5" s="1"/>
  <c r="F156" i="5" a="1"/>
  <c r="F156" i="5" s="1"/>
  <c r="F436" i="5" a="1"/>
  <c r="F436" i="5" s="1"/>
  <c r="F90" i="5" a="1"/>
  <c r="F90" i="5" s="1"/>
  <c r="F235" i="5" a="1"/>
  <c r="F235" i="5" s="1"/>
  <c r="F372" i="5" a="1"/>
  <c r="F372" i="5" s="1"/>
  <c r="F145" i="5" a="1"/>
  <c r="F145" i="5" s="1"/>
  <c r="F423" i="5" a="1"/>
  <c r="F423" i="5" s="1"/>
  <c r="F4" i="5" a="1"/>
  <c r="F4" i="5" s="1"/>
  <c r="F325" i="5" a="1"/>
  <c r="F325" i="5" s="1"/>
  <c r="F497" i="5" a="1"/>
  <c r="F497" i="5" s="1"/>
  <c r="F9" i="5" a="1"/>
  <c r="F9" i="5" s="1"/>
  <c r="F448" i="5" a="1"/>
  <c r="F448" i="5" s="1"/>
  <c r="F386" i="5" a="1"/>
  <c r="F386" i="5" s="1"/>
  <c r="F199" i="5" a="1"/>
  <c r="F199" i="5" s="1"/>
  <c r="F434" i="5" a="1"/>
  <c r="F434" i="5" s="1"/>
  <c r="F406" i="5" a="1"/>
  <c r="F406" i="5" s="1"/>
  <c r="F467" i="5" a="1"/>
  <c r="F467" i="5" s="1"/>
  <c r="F335" i="5" a="1"/>
  <c r="F335" i="5" s="1"/>
  <c r="F289" i="5" a="1"/>
  <c r="F289" i="5" s="1"/>
  <c r="F99" i="5" a="1"/>
  <c r="F99" i="5" s="1"/>
  <c r="F281" i="5" a="1"/>
  <c r="F281" i="5" s="1"/>
  <c r="F136" i="5" a="1"/>
  <c r="F136" i="5" s="1"/>
  <c r="F336" i="5" a="1"/>
  <c r="F336" i="5" s="1"/>
  <c r="F86" i="5" a="1"/>
  <c r="F86" i="5" s="1"/>
  <c r="F401" i="5" a="1"/>
  <c r="F401" i="5" s="1"/>
  <c r="F43" i="5" a="1"/>
  <c r="F43" i="5" s="1"/>
  <c r="F225" i="5" a="1"/>
  <c r="F225" i="5" s="1"/>
  <c r="F210" i="5" a="1"/>
  <c r="F210" i="5" s="1"/>
  <c r="F182" i="5" a="1"/>
  <c r="F182" i="5" s="1"/>
  <c r="F369" i="5" a="1"/>
  <c r="F369" i="5" s="1"/>
  <c r="F429" i="5" a="1"/>
  <c r="F429" i="5" s="1"/>
  <c r="F295" i="5" a="1"/>
  <c r="F295" i="5" s="1"/>
  <c r="F222" i="5" a="1"/>
  <c r="F222" i="5" s="1"/>
  <c r="F270" i="5" a="1"/>
  <c r="F270" i="5" s="1"/>
  <c r="F459" i="5" a="1"/>
  <c r="F459" i="5" s="1"/>
  <c r="F288" i="5" a="1"/>
  <c r="F288" i="5" s="1"/>
  <c r="F312" i="5" a="1"/>
  <c r="F312" i="5" s="1"/>
  <c r="F5" i="5" a="1"/>
  <c r="F5" i="5" s="1"/>
  <c r="F21" i="5" a="1"/>
  <c r="F21" i="5" s="1"/>
  <c r="F53" i="5" a="1"/>
  <c r="F53" i="5" s="1"/>
  <c r="F488" i="5" a="1"/>
  <c r="F488" i="5" s="1"/>
  <c r="F229" i="5" a="1"/>
  <c r="F229" i="5" s="1"/>
  <c r="F307" i="5" a="1"/>
  <c r="F307" i="5" s="1"/>
  <c r="F265" i="5" a="1"/>
  <c r="F265" i="5" s="1"/>
  <c r="F257" i="5" a="1"/>
  <c r="F257" i="5" s="1"/>
  <c r="F293" i="5" a="1"/>
  <c r="F293" i="5" s="1"/>
  <c r="F124" i="5" a="1"/>
  <c r="F124" i="5" s="1"/>
  <c r="F192" i="5" a="1"/>
  <c r="F192" i="5" s="1"/>
  <c r="F177" i="5" a="1"/>
  <c r="F177" i="5" s="1"/>
  <c r="F407" i="5" a="1"/>
  <c r="F407" i="5" s="1"/>
  <c r="F275" i="5" a="1"/>
  <c r="F275" i="5" s="1"/>
  <c r="F283" i="5" a="1"/>
  <c r="F283" i="5" s="1"/>
  <c r="F259" i="5" a="1"/>
  <c r="F259" i="5" s="1"/>
  <c r="F278" i="5" a="1"/>
  <c r="F278" i="5" s="1"/>
  <c r="F158" i="5" a="1"/>
  <c r="F158" i="5" s="1"/>
  <c r="F29" i="5" a="1"/>
  <c r="F29" i="5" s="1"/>
  <c r="F201" i="5" a="1"/>
  <c r="F201" i="5" s="1"/>
  <c r="F450" i="5" a="1"/>
  <c r="F450" i="5" s="1"/>
  <c r="F80" i="5" a="1"/>
  <c r="F80" i="5" s="1"/>
  <c r="F504" i="5" a="1"/>
  <c r="F504" i="5" s="1"/>
  <c r="F487" i="5" a="1"/>
  <c r="F487" i="5" s="1"/>
  <c r="F499" i="5" a="1"/>
  <c r="F499" i="5" s="1"/>
  <c r="F28" i="5" a="1"/>
  <c r="F28" i="5" s="1"/>
  <c r="F135" i="5" a="1"/>
  <c r="F135" i="5" s="1"/>
  <c r="F223" i="5" a="1"/>
  <c r="F223" i="5" s="1"/>
  <c r="F426" i="5" a="1"/>
  <c r="F426" i="5" s="1"/>
  <c r="F502" i="5" a="1"/>
  <c r="F502" i="5" s="1"/>
  <c r="F331" i="5" a="1"/>
  <c r="F331" i="5" s="1"/>
  <c r="F405" i="5" a="1"/>
  <c r="F405" i="5" s="1"/>
  <c r="F77" i="5" a="1"/>
  <c r="F77" i="5" s="1"/>
  <c r="F536" i="5" a="1"/>
  <c r="F536" i="5" s="1"/>
  <c r="F230" i="5" a="1"/>
  <c r="F230" i="5" s="1"/>
  <c r="F388" i="5" a="1"/>
  <c r="F388" i="5" s="1"/>
  <c r="F362" i="5" a="1"/>
  <c r="F362" i="5" s="1"/>
  <c r="F171" i="5" a="1"/>
  <c r="F171" i="5" s="1"/>
  <c r="F39" i="5" a="1"/>
  <c r="F39" i="5" s="1"/>
  <c r="F349" i="5" a="1"/>
  <c r="F349" i="5" s="1"/>
  <c r="F449" i="5" a="1"/>
  <c r="F449" i="5" s="1"/>
  <c r="F167" i="5" a="1"/>
  <c r="F167" i="5" s="1"/>
  <c r="F242" i="5" a="1"/>
  <c r="F242" i="5" s="1"/>
  <c r="F317" i="5" a="1"/>
  <c r="F317" i="5" s="1"/>
  <c r="F248" i="5" a="1"/>
  <c r="F248" i="5" s="1"/>
  <c r="F350" i="5" a="1"/>
  <c r="F350" i="5" s="1"/>
  <c r="F188" i="5" a="1"/>
  <c r="F188" i="5" s="1"/>
  <c r="F139" i="5" a="1"/>
  <c r="F139" i="5" s="1"/>
  <c r="F75" i="5" a="1"/>
  <c r="F75" i="5" s="1"/>
  <c r="F44" i="5" a="1"/>
  <c r="F44" i="5" s="1"/>
  <c r="F160" i="5" a="1"/>
  <c r="F160" i="5" s="1"/>
  <c r="F144" i="5" a="1"/>
  <c r="F144" i="5" s="1"/>
  <c r="F228" i="5" a="1"/>
  <c r="F228" i="5" s="1"/>
  <c r="F518" i="5" a="1"/>
  <c r="F518" i="5" s="1"/>
  <c r="F338" i="5" a="1"/>
  <c r="F338" i="5" s="1"/>
  <c r="F474" i="5" a="1"/>
  <c r="F474" i="5" s="1"/>
  <c r="F260" i="5" a="1"/>
  <c r="F260" i="5" s="1"/>
  <c r="F88" i="5" a="1"/>
  <c r="F88" i="5" s="1"/>
  <c r="F318" i="5" a="1"/>
  <c r="F318" i="5" s="1"/>
  <c r="F523" i="5" a="1"/>
  <c r="F523" i="5" s="1"/>
  <c r="F347" i="5" a="1"/>
  <c r="F347" i="5" s="1"/>
  <c r="F264" i="5" a="1"/>
  <c r="F264" i="5" s="1"/>
  <c r="F20" i="5" a="1"/>
  <c r="F20" i="5" s="1"/>
  <c r="F62" i="5" a="1"/>
  <c r="F62" i="5" s="1"/>
  <c r="F370" i="5" a="1"/>
  <c r="F370" i="5" s="1"/>
  <c r="F366" i="5" a="1"/>
  <c r="F366" i="5" s="1"/>
  <c r="F95" i="5" a="1"/>
  <c r="F95" i="5" s="1"/>
  <c r="F148" i="5" a="1"/>
  <c r="F148" i="5" s="1"/>
  <c r="F178" i="5" a="1"/>
  <c r="F178" i="5" s="1"/>
  <c r="F74" i="5" a="1"/>
  <c r="F74" i="5" s="1"/>
  <c r="F52" i="5" a="1"/>
  <c r="F52" i="5" s="1"/>
  <c r="F359" i="5" a="1"/>
  <c r="F359" i="5" s="1"/>
  <c r="F493" i="5" a="1"/>
  <c r="F493" i="5" s="1"/>
  <c r="F271" i="5" a="1"/>
  <c r="F271" i="5" s="1"/>
  <c r="F533" i="5" a="1"/>
  <c r="F533" i="5" s="1"/>
  <c r="F494" i="5" a="1"/>
  <c r="F494" i="5" s="1"/>
  <c r="F284" i="5" a="1"/>
  <c r="F284" i="5" s="1"/>
  <c r="F207" i="5" a="1"/>
  <c r="F207" i="5" s="1"/>
  <c r="F35" i="5" a="1"/>
  <c r="F35" i="5" s="1"/>
  <c r="F237" i="5" a="1"/>
  <c r="F237" i="5" s="1"/>
  <c r="F59" i="5" a="1"/>
  <c r="F59" i="5" s="1"/>
  <c r="F315" i="5" a="1"/>
  <c r="F315" i="5" s="1"/>
  <c r="F175" i="5" a="1"/>
  <c r="F175" i="5" s="1"/>
  <c r="F261" i="5" a="1"/>
  <c r="F261" i="5" s="1"/>
  <c r="F61" i="5" a="1"/>
  <c r="F61" i="5" s="1"/>
  <c r="F534" i="5" a="1"/>
  <c r="F534" i="5" s="1"/>
  <c r="F47" i="5" a="1"/>
  <c r="F47" i="5" s="1"/>
  <c r="F412" i="5" a="1"/>
  <c r="F412" i="5" s="1"/>
  <c r="F345" i="5" a="1"/>
  <c r="F345" i="5" s="1"/>
  <c r="F320" i="5" a="1"/>
  <c r="F320" i="5" s="1"/>
  <c r="F219" i="5" a="1"/>
  <c r="F219" i="5" s="1"/>
  <c r="F446" i="5" a="1"/>
  <c r="F446" i="5" s="1"/>
  <c r="F23" i="5" a="1"/>
  <c r="F23" i="5" s="1"/>
  <c r="F361" i="5" a="1"/>
  <c r="F361" i="5" s="1"/>
  <c r="F226" i="5" a="1"/>
  <c r="F226" i="5" s="1"/>
  <c r="F170" i="5" a="1"/>
  <c r="F170" i="5" s="1"/>
  <c r="F117" i="5" a="1"/>
  <c r="F117" i="5" s="1"/>
  <c r="G540" i="5"/>
  <c r="G537" i="5"/>
  <c r="F233" i="5"/>
  <c r="G539" i="5"/>
  <c r="G538" i="5"/>
  <c r="F232" i="5"/>
  <c r="F2" i="5"/>
  <c r="F541"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Camara Manresa, Jose Javier</author>
  </authors>
  <commentList>
    <comment ref="A2" authorId="0" shapeId="0" xr:uid="{2C456C36-8F93-4FD4-9978-97F21BAFC23C}">
      <text>
        <r>
          <rPr>
            <b/>
            <sz val="9"/>
            <color indexed="81"/>
            <rFont val="Tahoma"/>
            <family val="2"/>
          </rPr>
          <t>Camara Manresa, Jose Javier:</t>
        </r>
        <r>
          <rPr>
            <sz val="9"/>
            <color indexed="81"/>
            <rFont val="Tahoma"/>
            <family val="2"/>
          </rPr>
          <t xml:space="preserve">
No Formada JB</t>
        </r>
      </text>
    </comment>
    <comment ref="A3" authorId="0" shapeId="0" xr:uid="{2A5C5DC5-8F11-436D-9EB1-280C91FF848F}">
      <text>
        <r>
          <rPr>
            <b/>
            <sz val="9"/>
            <color indexed="81"/>
            <rFont val="Tahoma"/>
            <charset val="1"/>
          </rPr>
          <t>Camara Manresa, Jose Javier:</t>
        </r>
        <r>
          <rPr>
            <sz val="9"/>
            <color indexed="81"/>
            <rFont val="Tahoma"/>
            <charset val="1"/>
          </rPr>
          <t xml:space="preserve">
cuando sale en dock y corral la mandan a stow. No formacion</t>
        </r>
      </text>
    </comment>
    <comment ref="A4" authorId="0" shapeId="0" xr:uid="{D5C15A3C-00FE-46E4-AFDD-765FE950CD00}">
      <text>
        <r>
          <rPr>
            <b/>
            <sz val="9"/>
            <color indexed="81"/>
            <rFont val="Tahoma"/>
            <family val="2"/>
          </rPr>
          <t>Camara Manresa, Jose Javier:</t>
        </r>
        <r>
          <rPr>
            <sz val="9"/>
            <color indexed="81"/>
            <rFont val="Tahoma"/>
            <family val="2"/>
          </rPr>
          <t xml:space="preserve">
De tarea indirecta siempre la mueven e Each/Prep
</t>
        </r>
      </text>
    </comment>
    <comment ref="A5" authorId="0" shapeId="0" xr:uid="{D9A1683D-94B1-4839-805D-761548AB3760}">
      <text>
        <r>
          <rPr>
            <b/>
            <sz val="9"/>
            <color indexed="81"/>
            <rFont val="Tahoma"/>
            <family val="2"/>
          </rPr>
          <t>Camara Manresa, Jose Javier:</t>
        </r>
        <r>
          <rPr>
            <sz val="9"/>
            <color indexed="81"/>
            <rFont val="Tahoma"/>
            <family val="2"/>
          </rPr>
          <t xml:space="preserve">
RSP_pick pero siempre acaba haciendo stow
</t>
        </r>
      </text>
    </comment>
    <comment ref="A6" authorId="0" shapeId="0" xr:uid="{F0F695DF-2861-4668-A704-7791BD413720}">
      <text>
        <r>
          <rPr>
            <b/>
            <sz val="9"/>
            <color indexed="81"/>
            <rFont val="Tahoma"/>
            <family val="2"/>
          </rPr>
          <t>Camara Manresa, Jose Javier:</t>
        </r>
        <r>
          <rPr>
            <sz val="9"/>
            <color indexed="81"/>
            <rFont val="Tahoma"/>
            <family val="2"/>
          </rPr>
          <t xml:space="preserve">
siempre que QS cambios a sotw o OB_CHUTTING
</t>
        </r>
      </text>
    </comment>
    <comment ref="A7" authorId="0" shapeId="0" xr:uid="{E66AE203-F922-46DE-B2A2-01BBF3BDBDBE}">
      <text>
        <r>
          <rPr>
            <b/>
            <sz val="9"/>
            <color indexed="81"/>
            <rFont val="Tahoma"/>
            <charset val="1"/>
          </rPr>
          <t>Camara Manresa, Jose Javier:</t>
        </r>
        <r>
          <rPr>
            <sz val="9"/>
            <color indexed="81"/>
            <rFont val="Tahoma"/>
            <charset val="1"/>
          </rPr>
          <t xml:space="preserve">
no tiene formacion de OB_SM 
</t>
        </r>
      </text>
    </comment>
    <comment ref="A8" authorId="0" shapeId="0" xr:uid="{5254868E-0DF0-476C-AAF6-8A25AA2A0C48}">
      <text>
        <r>
          <rPr>
            <b/>
            <sz val="9"/>
            <color indexed="81"/>
            <rFont val="Tahoma"/>
            <charset val="1"/>
          </rPr>
          <t>Camara Manresa, Jose Javier:</t>
        </r>
        <r>
          <rPr>
            <sz val="9"/>
            <color indexed="81"/>
            <rFont val="Tahoma"/>
            <charset val="1"/>
          </rPr>
          <t xml:space="preserve">
</t>
        </r>
      </text>
    </comment>
    <comment ref="A9" authorId="0" shapeId="0" xr:uid="{CF856BA0-8407-431A-9E32-BEC88F409359}">
      <text>
        <r>
          <rPr>
            <b/>
            <sz val="9"/>
            <color indexed="81"/>
            <rFont val="Tahoma"/>
            <charset val="1"/>
          </rPr>
          <t>Camara Manresa, Jose Javier:</t>
        </r>
        <r>
          <rPr>
            <sz val="9"/>
            <color indexed="81"/>
            <rFont val="Tahoma"/>
            <charset val="1"/>
          </rPr>
          <t xml:space="preserve">
Cuando sale de JB la pasan a Each o Decant a pesar de tener formacion de JB. Antonvlo me comenta que le quitaron los permisos tras LOA. Actualizar alloc
</t>
        </r>
      </text>
    </comment>
    <comment ref="A10" authorId="0" shapeId="0" xr:uid="{7AF5D386-B130-45D9-98BA-021F1BB3DB39}">
      <text>
        <r>
          <rPr>
            <b/>
            <sz val="9"/>
            <color indexed="81"/>
            <rFont val="Tahoma"/>
            <charset val="1"/>
          </rPr>
          <t>Camara Manresa, Jose Javier:</t>
        </r>
        <r>
          <rPr>
            <sz val="9"/>
            <color indexed="81"/>
            <rFont val="Tahoma"/>
            <charset val="1"/>
          </rPr>
          <t xml:space="preserve">
No tiene formacion en pallet decant y continuan poniendola. Por lo visto en engage, creo que presenta adaptaciones de puesto
</t>
        </r>
      </text>
    </comment>
    <comment ref="A11" authorId="0" shapeId="0" xr:uid="{03DC24C7-BBAF-4E71-BC54-BD42D665D72C}">
      <text>
        <r>
          <rPr>
            <b/>
            <sz val="9"/>
            <color indexed="81"/>
            <rFont val="Tahoma"/>
            <charset val="1"/>
          </rPr>
          <t>Camara Manresa, Jose Javier:</t>
        </r>
        <r>
          <rPr>
            <sz val="9"/>
            <color indexed="81"/>
            <rFont val="Tahoma"/>
            <charset val="1"/>
          </rPr>
          <t xml:space="preserve">
Aparece de transfer OB, Dock y Corral y solo presenta formaciones en stow y decant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31BE0AFB-BA6B-4AAF-BD37-2F4BDB6E3D45}" keepAlive="1" name="ThisWorkbookDataModel" description="Data Model" type="5" refreshedVersion="7"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3CB2E7F8-25E5-4380-9D09-61DAE0328252}" name="WorksheetConnection_ALLOC!$A$1:$C$336" type="102" refreshedVersion="7" minRefreshableVersion="5">
    <extLst>
      <ext xmlns:x15="http://schemas.microsoft.com/office/spreadsheetml/2010/11/main" uri="{DE250136-89BD-433C-8126-D09CA5730AF9}">
        <x15:connection id="Range" autoDelete="1">
          <x15:rangePr sourceName="_xlcn.WorksheetConnection_ALLOCA1C3361"/>
        </x15:connection>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<sst xmlns="http://schemas.openxmlformats.org/spreadsheetml/2006/main" count="3162" uniqueCount="665">
  <si>
    <t>zubrayne</t>
  </si>
  <si>
    <t>ygaralfo</t>
  </si>
  <si>
    <t>xmpedroj</t>
  </si>
  <si>
    <t>xcoranto</t>
  </si>
  <si>
    <t>vlojanol</t>
  </si>
  <si>
    <t>vigonzae</t>
  </si>
  <si>
    <t>vichmari</t>
  </si>
  <si>
    <t>ualejmen</t>
  </si>
  <si>
    <t>touainho</t>
  </si>
  <si>
    <t>tloanton</t>
  </si>
  <si>
    <t>tamamorc</t>
  </si>
  <si>
    <t>simonsoe</t>
  </si>
  <si>
    <t>silvadke</t>
  </si>
  <si>
    <t>sergigah</t>
  </si>
  <si>
    <t>santiahg</t>
  </si>
  <si>
    <t>sanandrb</t>
  </si>
  <si>
    <t>rubecorr</t>
  </si>
  <si>
    <t>rombotia</t>
  </si>
  <si>
    <t>rodrador</t>
  </si>
  <si>
    <t>rmerceji</t>
  </si>
  <si>
    <t>reyerubz</t>
  </si>
  <si>
    <t>raulmorx</t>
  </si>
  <si>
    <t>qgarcmir</t>
  </si>
  <si>
    <t>qcufranc</t>
  </si>
  <si>
    <t>qcalison</t>
  </si>
  <si>
    <t>qaleange</t>
  </si>
  <si>
    <t>pmudanie</t>
  </si>
  <si>
    <t>perezojm</t>
  </si>
  <si>
    <t>perezhep</t>
  </si>
  <si>
    <t>peolivag</t>
  </si>
  <si>
    <t>paladiyq</t>
  </si>
  <si>
    <t>otadrian</t>
  </si>
  <si>
    <t>ortizres</t>
  </si>
  <si>
    <t>omolimar</t>
  </si>
  <si>
    <t>obastida</t>
  </si>
  <si>
    <t>nortesbm</t>
  </si>
  <si>
    <t>nolasclu</t>
  </si>
  <si>
    <t>noguerbe</t>
  </si>
  <si>
    <t>noeliacu</t>
  </si>
  <si>
    <t>nmigufer</t>
  </si>
  <si>
    <t>navarrzj</t>
  </si>
  <si>
    <t>muysanti</t>
  </si>
  <si>
    <t>murccarm</t>
  </si>
  <si>
    <t>mrenosl</t>
  </si>
  <si>
    <t>moyavame</t>
  </si>
  <si>
    <t>montalac</t>
  </si>
  <si>
    <t>molerome</t>
  </si>
  <si>
    <t>mlibanol</t>
  </si>
  <si>
    <t>mirasane</t>
  </si>
  <si>
    <t>migfranh</t>
  </si>
  <si>
    <t>maruizpe</t>
  </si>
  <si>
    <t>marovand</t>
  </si>
  <si>
    <t>maricafe</t>
  </si>
  <si>
    <t>mariabef</t>
  </si>
  <si>
    <t>maqalej</t>
  </si>
  <si>
    <t>mapantol</t>
  </si>
  <si>
    <t>maogarc</t>
  </si>
  <si>
    <t>mamontoq</t>
  </si>
  <si>
    <t>maigrspe</t>
  </si>
  <si>
    <t>macondej</t>
  </si>
  <si>
    <t>mabanosm</t>
  </si>
  <si>
    <t>lugoemel</t>
  </si>
  <si>
    <t>lucibmar</t>
  </si>
  <si>
    <t>luciamav</t>
  </si>
  <si>
    <t>lopezagr</t>
  </si>
  <si>
    <t>lmrosama</t>
  </si>
  <si>
    <t>lillojul</t>
  </si>
  <si>
    <t>kjosesan</t>
  </si>
  <si>
    <t>khaycmoh</t>
  </si>
  <si>
    <t>kenddcau</t>
  </si>
  <si>
    <t>jumorenu</t>
  </si>
  <si>
    <t>juarrobo</t>
  </si>
  <si>
    <t>juafherm</t>
  </si>
  <si>
    <t>jsreyesc</t>
  </si>
  <si>
    <t>jotosete</t>
  </si>
  <si>
    <t>josejavw</t>
  </si>
  <si>
    <t>josecamj</t>
  </si>
  <si>
    <t>joscujip</t>
  </si>
  <si>
    <t>jonxfern</t>
  </si>
  <si>
    <t>jokesteb</t>
  </si>
  <si>
    <t>joaqucaw</t>
  </si>
  <si>
    <t>joaqualf</t>
  </si>
  <si>
    <t>joanmaal</t>
  </si>
  <si>
    <t>javbuenp</t>
  </si>
  <si>
    <t>jasfranz</t>
  </si>
  <si>
    <t>ismenend</t>
  </si>
  <si>
    <t>iloremed</t>
  </si>
  <si>
    <t>ikaawa</t>
  </si>
  <si>
    <t>icbouhou</t>
  </si>
  <si>
    <t>icaballj</t>
  </si>
  <si>
    <t>iantomar</t>
  </si>
  <si>
    <t>herraizc</t>
  </si>
  <si>
    <t>hdangonz</t>
  </si>
  <si>
    <t>haralejh</t>
  </si>
  <si>
    <t>hamabdeg</t>
  </si>
  <si>
    <t>guirjuan</t>
  </si>
  <si>
    <t>guilmurm</t>
  </si>
  <si>
    <t>gnoeliap</t>
  </si>
  <si>
    <t>gizzambr</t>
  </si>
  <si>
    <t>garridmd</t>
  </si>
  <si>
    <t>garcksan</t>
  </si>
  <si>
    <t>garciije</t>
  </si>
  <si>
    <t>garcigfr</t>
  </si>
  <si>
    <t>francyuf</t>
  </si>
  <si>
    <t>forcamaa</t>
  </si>
  <si>
    <t>fernaaua</t>
  </si>
  <si>
    <t>ferjgarc</t>
  </si>
  <si>
    <t>feepablo</t>
  </si>
  <si>
    <t>fdeniafu</t>
  </si>
  <si>
    <t>fcristcu</t>
  </si>
  <si>
    <t>encargpe</t>
  </si>
  <si>
    <t>elhajjaa</t>
  </si>
  <si>
    <t>ehamam</t>
  </si>
  <si>
    <t>egearojl</t>
  </si>
  <si>
    <t>egeadani</t>
  </si>
  <si>
    <t>eduinsmo</t>
  </si>
  <si>
    <t>eduarsad</t>
  </si>
  <si>
    <t>eduarhsa</t>
  </si>
  <si>
    <t>eduapedv</t>
  </si>
  <si>
    <t>eabadcue</t>
  </si>
  <si>
    <t>delfixju</t>
  </si>
  <si>
    <t>dandragw</t>
  </si>
  <si>
    <t>dabdelax</t>
  </si>
  <si>
    <t>castiuaa</t>
  </si>
  <si>
    <t>carrjanj</t>
  </si>
  <si>
    <t>cardozoy</t>
  </si>
  <si>
    <t>caparosc</t>
  </si>
  <si>
    <t>calvomun</t>
  </si>
  <si>
    <t>byjimene</t>
  </si>
  <si>
    <t>bulpedro</t>
  </si>
  <si>
    <t>biengomb</t>
  </si>
  <si>
    <t>ariaspal</t>
  </si>
  <si>
    <t>arayalam</t>
  </si>
  <si>
    <t>annidaim</t>
  </si>
  <si>
    <t>anburlam</t>
  </si>
  <si>
    <t>anavanes</t>
  </si>
  <si>
    <t>anaruin</t>
  </si>
  <si>
    <t>alvarhfr</t>
  </si>
  <si>
    <t>alvalcar</t>
  </si>
  <si>
    <t>altedhjo</t>
  </si>
  <si>
    <t>alfomsan</t>
  </si>
  <si>
    <t>alfocone</t>
  </si>
  <si>
    <t>alejanfn</t>
  </si>
  <si>
    <t>alalexes</t>
  </si>
  <si>
    <t>aihuerta</t>
  </si>
  <si>
    <t>aidelrio</t>
  </si>
  <si>
    <t>adriamaq</t>
  </si>
  <si>
    <t>adrcerme</t>
  </si>
  <si>
    <t>acamposi</t>
  </si>
  <si>
    <t>abzianid</t>
  </si>
  <si>
    <t>abdhzian</t>
  </si>
  <si>
    <t>Logged_Hours</t>
  </si>
  <si>
    <t>Stow_Rate</t>
  </si>
  <si>
    <t>aaemilio</t>
  </si>
  <si>
    <t>abdbouja</t>
  </si>
  <si>
    <t>abdelboi</t>
  </si>
  <si>
    <t>abdellme</t>
  </si>
  <si>
    <t>accerve</t>
  </si>
  <si>
    <t>acoaless</t>
  </si>
  <si>
    <t>adriaceg</t>
  </si>
  <si>
    <t>afeladel</t>
  </si>
  <si>
    <t>afrasque</t>
  </si>
  <si>
    <t>ajauquil</t>
  </si>
  <si>
    <t>alaserg</t>
  </si>
  <si>
    <t>albamarr</t>
  </si>
  <si>
    <t>albnmart</t>
  </si>
  <si>
    <t>almayorr</t>
  </si>
  <si>
    <t>alvaroog</t>
  </si>
  <si>
    <t>alvaters</t>
  </si>
  <si>
    <t>alvcastg</t>
  </si>
  <si>
    <t>amadorrz</t>
  </si>
  <si>
    <t>amarinln</t>
  </si>
  <si>
    <t>amcamado</t>
  </si>
  <si>
    <t>amgrod</t>
  </si>
  <si>
    <t>amoyapad</t>
  </si>
  <si>
    <t>anasanzt</t>
  </si>
  <si>
    <t>andreulo</t>
  </si>
  <si>
    <t>angelgme</t>
  </si>
  <si>
    <t>ankelaij</t>
  </si>
  <si>
    <t>anouguiz</t>
  </si>
  <si>
    <t>antogarw</t>
  </si>
  <si>
    <t>antonjma</t>
  </si>
  <si>
    <t>antotort</t>
  </si>
  <si>
    <t>anunesba</t>
  </si>
  <si>
    <t>anyegalf</t>
  </si>
  <si>
    <t>arelgvan</t>
  </si>
  <si>
    <t>aroxanag</t>
  </si>
  <si>
    <t>arroboga</t>
  </si>
  <si>
    <t>artmarli</t>
  </si>
  <si>
    <t>aucacjen</t>
  </si>
  <si>
    <t>ayazizih</t>
  </si>
  <si>
    <t>azamboun</t>
  </si>
  <si>
    <t>azekrisa</t>
  </si>
  <si>
    <t>bachelot</t>
  </si>
  <si>
    <t>bahidahg</t>
  </si>
  <si>
    <t>bailvice</t>
  </si>
  <si>
    <t>baltasma</t>
  </si>
  <si>
    <t>banoanto</t>
  </si>
  <si>
    <t>banosrma</t>
  </si>
  <si>
    <t>barbepau</t>
  </si>
  <si>
    <t>barcmmar</t>
  </si>
  <si>
    <t>barrurod</t>
  </si>
  <si>
    <t>beljcarm</t>
  </si>
  <si>
    <t>belkmoha</t>
  </si>
  <si>
    <t>benhafss</t>
  </si>
  <si>
    <t>berramhm</t>
  </si>
  <si>
    <t>bmartseb</t>
  </si>
  <si>
    <t>bmendoja</t>
  </si>
  <si>
    <t>bnoruizb</t>
  </si>
  <si>
    <t>boizacam</t>
  </si>
  <si>
    <t>bouissig</t>
  </si>
  <si>
    <t>boutkhta</t>
  </si>
  <si>
    <t>brubijen</t>
  </si>
  <si>
    <t>bveraval</t>
  </si>
  <si>
    <t>cabalbal</t>
  </si>
  <si>
    <t>cahcarlo</t>
  </si>
  <si>
    <t>caizapia</t>
  </si>
  <si>
    <t>canariol</t>
  </si>
  <si>
    <t>canofema</t>
  </si>
  <si>
    <t>canovlak</t>
  </si>
  <si>
    <t>carcampi</t>
  </si>
  <si>
    <t>carmliqu</t>
  </si>
  <si>
    <t>carpnjos</t>
  </si>
  <si>
    <t>carrimap</t>
  </si>
  <si>
    <t>cazajuaq</t>
  </si>
  <si>
    <t>ccastelj</t>
  </si>
  <si>
    <t>cdorinao</t>
  </si>
  <si>
    <t>chaimebe</t>
  </si>
  <si>
    <t>clyanira</t>
  </si>
  <si>
    <t>cmchamor</t>
  </si>
  <si>
    <t>cocaquod</t>
  </si>
  <si>
    <t>concepmu</t>
  </si>
  <si>
    <t>crespota</t>
  </si>
  <si>
    <t>crisilvl</t>
  </si>
  <si>
    <t>crismaz</t>
  </si>
  <si>
    <t>cruzhlju</t>
  </si>
  <si>
    <t>csanchlu</t>
  </si>
  <si>
    <t>cujhonny</t>
  </si>
  <si>
    <t>davdoler</t>
  </si>
  <si>
    <t>dayrmend</t>
  </si>
  <si>
    <t>dcarolio</t>
  </si>
  <si>
    <t>dceliasa</t>
  </si>
  <si>
    <t>dejepman</t>
  </si>
  <si>
    <t>dejoseja</t>
  </si>
  <si>
    <t>dfralope</t>
  </si>
  <si>
    <t>diazrojj</t>
  </si>
  <si>
    <t>dibelmar</t>
  </si>
  <si>
    <t>diegosus</t>
  </si>
  <si>
    <t>djfacund</t>
  </si>
  <si>
    <t>dmaillva</t>
  </si>
  <si>
    <t>dpjosevi</t>
  </si>
  <si>
    <t>droblesd</t>
  </si>
  <si>
    <t>droblesj</t>
  </si>
  <si>
    <t>ebconesa</t>
  </si>
  <si>
    <t>ecofrank</t>
  </si>
  <si>
    <t>edoborjo</t>
  </si>
  <si>
    <t>efaelham</t>
  </si>
  <si>
    <t>ekatgonz</t>
  </si>
  <si>
    <t>elfamohu</t>
  </si>
  <si>
    <t>elkimart</t>
  </si>
  <si>
    <t>emeljaim</t>
  </si>
  <si>
    <t>emilyner</t>
  </si>
  <si>
    <t>emislope</t>
  </si>
  <si>
    <t>enriqrum</t>
  </si>
  <si>
    <t>eramosca</t>
  </si>
  <si>
    <t>erikcarc</t>
  </si>
  <si>
    <t>esdmarta</t>
  </si>
  <si>
    <t>espadade</t>
  </si>
  <si>
    <t>esparzwf</t>
  </si>
  <si>
    <t>espiydan</t>
  </si>
  <si>
    <t>essabirs</t>
  </si>
  <si>
    <t>estebpes</t>
  </si>
  <si>
    <t>ezmartio</t>
  </si>
  <si>
    <t>fcarrima</t>
  </si>
  <si>
    <t>feespinn</t>
  </si>
  <si>
    <t>fehsuare</t>
  </si>
  <si>
    <t>felautar</t>
  </si>
  <si>
    <t>femarias</t>
  </si>
  <si>
    <t>fereale</t>
  </si>
  <si>
    <t>fernaolg</t>
  </si>
  <si>
    <t>ferrufii</t>
  </si>
  <si>
    <t>fkaailiz</t>
  </si>
  <si>
    <t>fkfernan</t>
  </si>
  <si>
    <t>fmadyman</t>
  </si>
  <si>
    <t>fmariajm</t>
  </si>
  <si>
    <t>fpenacwi</t>
  </si>
  <si>
    <t>fracecil</t>
  </si>
  <si>
    <t>francods</t>
  </si>
  <si>
    <t>fraralar</t>
  </si>
  <si>
    <t>fuentcay</t>
  </si>
  <si>
    <t>gaisssek</t>
  </si>
  <si>
    <t>galanmon</t>
  </si>
  <si>
    <t>gaonaalr</t>
  </si>
  <si>
    <t>garcgine</t>
  </si>
  <si>
    <t>garcipey</t>
  </si>
  <si>
    <t>garcpju</t>
  </si>
  <si>
    <t>garsgine</t>
  </si>
  <si>
    <t>gasamuem</t>
  </si>
  <si>
    <t>ginecana</t>
  </si>
  <si>
    <t>gomeznjl</t>
  </si>
  <si>
    <t>gonzglui</t>
  </si>
  <si>
    <t>gonzyver</t>
  </si>
  <si>
    <t>gpedrojo</t>
  </si>
  <si>
    <t>gugarmon</t>
  </si>
  <si>
    <t>guiderce</t>
  </si>
  <si>
    <t>guillpue</t>
  </si>
  <si>
    <t>haazouzo</t>
  </si>
  <si>
    <t>handrmas</t>
  </si>
  <si>
    <t>hejeroni</t>
  </si>
  <si>
    <t>herrluc</t>
  </si>
  <si>
    <t>hgaeliot</t>
  </si>
  <si>
    <t>hieloual</t>
  </si>
  <si>
    <t>hlopezje</t>
  </si>
  <si>
    <t>hoboujaw</t>
  </si>
  <si>
    <t>hperezpr</t>
  </si>
  <si>
    <t>ibanexal</t>
  </si>
  <si>
    <t>ikgeorgi</t>
  </si>
  <si>
    <t>ilopedav</t>
  </si>
  <si>
    <t>imonserr</t>
  </si>
  <si>
    <t>imranbak</t>
  </si>
  <si>
    <t>inaoumeq</t>
  </si>
  <si>
    <t>iqcastro</t>
  </si>
  <si>
    <t>irenoton</t>
  </si>
  <si>
    <t>isabelmx</t>
  </si>
  <si>
    <t>isriofri</t>
  </si>
  <si>
    <t>jadrdiaz</t>
  </si>
  <si>
    <t>jamfadil</t>
  </si>
  <si>
    <t>jaquellc</t>
  </si>
  <si>
    <t>jennztor</t>
  </si>
  <si>
    <t>jenripoe</t>
  </si>
  <si>
    <t>jgarccar</t>
  </si>
  <si>
    <t>jhacarri</t>
  </si>
  <si>
    <t>jimariai</t>
  </si>
  <si>
    <t>jnatrami</t>
  </si>
  <si>
    <t>jncuriel</t>
  </si>
  <si>
    <t>joaqvida</t>
  </si>
  <si>
    <t>jorybaly</t>
  </si>
  <si>
    <t>josedica</t>
  </si>
  <si>
    <t>josemkmo</t>
  </si>
  <si>
    <t>josergom</t>
  </si>
  <si>
    <t>josgodix</t>
  </si>
  <si>
    <t>josmerpe</t>
  </si>
  <si>
    <t>josvazql</t>
  </si>
  <si>
    <t>juanjosn</t>
  </si>
  <si>
    <t>juaqlope</t>
  </si>
  <si>
    <t>juarcort</t>
  </si>
  <si>
    <t>karencax</t>
  </si>
  <si>
    <t>kharmach</t>
  </si>
  <si>
    <t>khghizla</t>
  </si>
  <si>
    <t>krciziun</t>
  </si>
  <si>
    <t>kroclope</t>
  </si>
  <si>
    <t>ksvictor</t>
  </si>
  <si>
    <t>lacaljos</t>
  </si>
  <si>
    <t>lahlonas</t>
  </si>
  <si>
    <t>lahlouzf</t>
  </si>
  <si>
    <t>lajaravs</t>
  </si>
  <si>
    <t>langeliv</t>
  </si>
  <si>
    <t>laumvale</t>
  </si>
  <si>
    <t>lauraqor</t>
  </si>
  <si>
    <t>laustric</t>
  </si>
  <si>
    <t>lazarbal</t>
  </si>
  <si>
    <t>lcarrasi</t>
  </si>
  <si>
    <t>leolimar</t>
  </si>
  <si>
    <t>leonmofr</t>
  </si>
  <si>
    <t>lguzmane</t>
  </si>
  <si>
    <t>linavend</t>
  </si>
  <si>
    <t>lliherna</t>
  </si>
  <si>
    <t>llorcato</t>
  </si>
  <si>
    <t>lopandrp</t>
  </si>
  <si>
    <t>lopesort</t>
  </si>
  <si>
    <t>lopezaen</t>
  </si>
  <si>
    <t>lopezsmv</t>
  </si>
  <si>
    <t>lopezvpe</t>
  </si>
  <si>
    <t>lorenpax</t>
  </si>
  <si>
    <t>lorjuanu</t>
  </si>
  <si>
    <t>lourdale</t>
  </si>
  <si>
    <t>lozantom</t>
  </si>
  <si>
    <t>lsalhoma</t>
  </si>
  <si>
    <t>luiswhid</t>
  </si>
  <si>
    <t>maamalih</t>
  </si>
  <si>
    <t>mabadri</t>
  </si>
  <si>
    <t>maciaecr</t>
  </si>
  <si>
    <t>maijuanc</t>
  </si>
  <si>
    <t>maizimar</t>
  </si>
  <si>
    <t>manarcim</t>
  </si>
  <si>
    <t>maouichi</t>
  </si>
  <si>
    <t>marariol</t>
  </si>
  <si>
    <t>marcoqca</t>
  </si>
  <si>
    <t>marilopr</t>
  </si>
  <si>
    <t>marinfue</t>
  </si>
  <si>
    <t>marlooje</t>
  </si>
  <si>
    <t>marpremi</t>
  </si>
  <si>
    <t>marqupil</t>
  </si>
  <si>
    <t>marreboy</t>
  </si>
  <si>
    <t>marrenas</t>
  </si>
  <si>
    <t>martaomo</t>
  </si>
  <si>
    <t>marthazf</t>
  </si>
  <si>
    <t>martlaja</t>
  </si>
  <si>
    <t>martmh</t>
  </si>
  <si>
    <t>martojes</t>
  </si>
  <si>
    <t>masegosf</t>
  </si>
  <si>
    <t>masfmarc</t>
  </si>
  <si>
    <t>maysvald</t>
  </si>
  <si>
    <t>mazmarin</t>
  </si>
  <si>
    <t>mcantama</t>
  </si>
  <si>
    <t>mdamaiba</t>
  </si>
  <si>
    <t>medifrav</t>
  </si>
  <si>
    <t>melgarek</t>
  </si>
  <si>
    <t>menramat</t>
  </si>
  <si>
    <t>mgarraqu</t>
  </si>
  <si>
    <t>mihirgjo</t>
  </si>
  <si>
    <t>mikorteg</t>
  </si>
  <si>
    <t>moanadol</t>
  </si>
  <si>
    <t>mobouchn</t>
  </si>
  <si>
    <t>mogkadfi</t>
  </si>
  <si>
    <t>mohamtik</t>
  </si>
  <si>
    <t>mohazerh</t>
  </si>
  <si>
    <t>mohinaou</t>
  </si>
  <si>
    <t>molipang</t>
  </si>
  <si>
    <t>monxvero</t>
  </si>
  <si>
    <t>morexyer</t>
  </si>
  <si>
    <t>morezant</t>
  </si>
  <si>
    <t>mparedee</t>
  </si>
  <si>
    <t>mulmirif</t>
  </si>
  <si>
    <t>nberramk</t>
  </si>
  <si>
    <t>nellroch</t>
  </si>
  <si>
    <t>nelpprad</t>
  </si>
  <si>
    <t>npedrolu</t>
  </si>
  <si>
    <t>nzjmar</t>
  </si>
  <si>
    <t>obandrei</t>
  </si>
  <si>
    <t>oevamari</t>
  </si>
  <si>
    <t>ojuanmma</t>
  </si>
  <si>
    <t>olmopedf</t>
  </si>
  <si>
    <t>omariaeu</t>
  </si>
  <si>
    <t>opesergi</t>
  </si>
  <si>
    <t>oreneses</t>
  </si>
  <si>
    <t>ortalejd</t>
  </si>
  <si>
    <t>ortsbenj</t>
  </si>
  <si>
    <t>ossamani</t>
  </si>
  <si>
    <t>ouadbrah</t>
  </si>
  <si>
    <t>oujobego</t>
  </si>
  <si>
    <t>paganmor</t>
  </si>
  <si>
    <t>pbmoreno</t>
  </si>
  <si>
    <t>peaaleja</t>
  </si>
  <si>
    <t>pedrnmar</t>
  </si>
  <si>
    <t>pedroarv</t>
  </si>
  <si>
    <t>pinaroan</t>
  </si>
  <si>
    <t>pjoseaso</t>
  </si>
  <si>
    <t>planmarb</t>
  </si>
  <si>
    <t>pmoroleg</t>
  </si>
  <si>
    <t>ponomaol</t>
  </si>
  <si>
    <t>pradochm</t>
  </si>
  <si>
    <t>prioange</t>
  </si>
  <si>
    <t>provalle</t>
  </si>
  <si>
    <t>qabdedri</t>
  </si>
  <si>
    <t>qdamaiba</t>
  </si>
  <si>
    <t>qgomezda</t>
  </si>
  <si>
    <t>qospulid</t>
  </si>
  <si>
    <t>queluisa</t>
  </si>
  <si>
    <t>quevelen</t>
  </si>
  <si>
    <t>raipared</t>
  </si>
  <si>
    <t>ramateod</t>
  </si>
  <si>
    <t>rebjuanh</t>
  </si>
  <si>
    <t>requenan</t>
  </si>
  <si>
    <t>reyescen</t>
  </si>
  <si>
    <t>riquramo</t>
  </si>
  <si>
    <t>rkdani</t>
  </si>
  <si>
    <t>rmartsau</t>
  </si>
  <si>
    <t>rmoraana</t>
  </si>
  <si>
    <t>rocariny</t>
  </si>
  <si>
    <t>rodriejo</t>
  </si>
  <si>
    <t>rodrmanv</t>
  </si>
  <si>
    <t>rojenif</t>
  </si>
  <si>
    <t>rosamdel</t>
  </si>
  <si>
    <t>rosavsan</t>
  </si>
  <si>
    <t>rosiquea</t>
  </si>
  <si>
    <t>rosmilvi</t>
  </si>
  <si>
    <t>rsanrube</t>
  </si>
  <si>
    <t>rtsoraya</t>
  </si>
  <si>
    <t>ruizgimw</t>
  </si>
  <si>
    <t>ruizvmir</t>
  </si>
  <si>
    <t>ruurzagg</t>
  </si>
  <si>
    <t>rwherran</t>
  </si>
  <si>
    <t>saeloual</t>
  </si>
  <si>
    <t>sagualdr</t>
  </si>
  <si>
    <t>salmarir</t>
  </si>
  <si>
    <t>salomlma</t>
  </si>
  <si>
    <t>samajoha</t>
  </si>
  <si>
    <t>sanaemej</t>
  </si>
  <si>
    <t>sancconz</t>
  </si>
  <si>
    <t>sanchmbo</t>
  </si>
  <si>
    <t>sandloai</t>
  </si>
  <si>
    <t>sanpedrm</t>
  </si>
  <si>
    <t>sapjorge</t>
  </si>
  <si>
    <t>sarriofi</t>
  </si>
  <si>
    <t>segpablo</t>
  </si>
  <si>
    <t>sergioof</t>
  </si>
  <si>
    <t>sheilphe</t>
  </si>
  <si>
    <t>sherezpa</t>
  </si>
  <si>
    <t>silvkdia</t>
  </si>
  <si>
    <t>sjuanenr</t>
  </si>
  <si>
    <t>sonkorti</t>
  </si>
  <si>
    <t>souadnbe</t>
  </si>
  <si>
    <t>srosanto</t>
  </si>
  <si>
    <t>srosiquf</t>
  </si>
  <si>
    <t>sseraqui</t>
  </si>
  <si>
    <t>stefafbe</t>
  </si>
  <si>
    <t>taguisar</t>
  </si>
  <si>
    <t>taniugar</t>
  </si>
  <si>
    <t>tatosori</t>
  </si>
  <si>
    <t>tatrojas</t>
  </si>
  <si>
    <t>tayalama</t>
  </si>
  <si>
    <t>tebasisa</t>
  </si>
  <si>
    <t>tifmartk</t>
  </si>
  <si>
    <t>tiintric</t>
  </si>
  <si>
    <t>torrclaa</t>
  </si>
  <si>
    <t>ttinocoo</t>
  </si>
  <si>
    <t>uchuarig</t>
  </si>
  <si>
    <t>ulorerod</t>
  </si>
  <si>
    <t>uyollope</t>
  </si>
  <si>
    <t>vacalema</t>
  </si>
  <si>
    <t>vadohele</t>
  </si>
  <si>
    <t>varonahr</t>
  </si>
  <si>
    <t>ventbogd</t>
  </si>
  <si>
    <t>verdupae</t>
  </si>
  <si>
    <t>vewrosar</t>
  </si>
  <si>
    <t>vicentno</t>
  </si>
  <si>
    <t>vicevicp</t>
  </si>
  <si>
    <t>victopul</t>
  </si>
  <si>
    <t>vicvargr</t>
  </si>
  <si>
    <t>vjcarmen</t>
  </si>
  <si>
    <t>vramieli</t>
  </si>
  <si>
    <t>weqporti</t>
  </si>
  <si>
    <t>wsanchla</t>
  </si>
  <si>
    <t>xandrcas</t>
  </si>
  <si>
    <t>xantsara</t>
  </si>
  <si>
    <t>xgarciaz</t>
  </si>
  <si>
    <t>xnouguje</t>
  </si>
  <si>
    <t>xtaniama</t>
  </si>
  <si>
    <t>yasrahms</t>
  </si>
  <si>
    <t>yfcastil</t>
  </si>
  <si>
    <t>ymartadr</t>
  </si>
  <si>
    <t>yomarcos</t>
  </si>
  <si>
    <t>zamoraib</t>
  </si>
  <si>
    <t>zapatadi</t>
  </si>
  <si>
    <t>zaraquep</t>
  </si>
  <si>
    <t>zaseange</t>
  </si>
  <si>
    <t>zmarigin</t>
  </si>
  <si>
    <t>zmarmale</t>
  </si>
  <si>
    <t>zperezar</t>
  </si>
  <si>
    <t>ztomasmm</t>
  </si>
  <si>
    <t>User_Id ▾</t>
  </si>
  <si>
    <t>Stow</t>
  </si>
  <si>
    <t>lopezhob</t>
  </si>
  <si>
    <t>mralman</t>
  </si>
  <si>
    <t>Stow Master Sessions</t>
  </si>
  <si>
    <t>alejpate</t>
  </si>
  <si>
    <t>csmariaj</t>
  </si>
  <si>
    <t>esdaniez</t>
  </si>
  <si>
    <t>salvfers</t>
  </si>
  <si>
    <t>Stow Support</t>
  </si>
  <si>
    <t>elparril</t>
  </si>
  <si>
    <t>mabenmez</t>
  </si>
  <si>
    <t>navadmar</t>
  </si>
  <si>
    <t>themaria</t>
  </si>
  <si>
    <t>zalverca</t>
  </si>
  <si>
    <t xml:space="preserve">login </t>
  </si>
  <si>
    <t xml:space="preserve">hours lost </t>
  </si>
  <si>
    <t>total hours</t>
  </si>
  <si>
    <t xml:space="preserve">% horas perdidas </t>
  </si>
  <si>
    <t>Unknown Idle %</t>
  </si>
  <si>
    <t>Horas Unknown</t>
  </si>
  <si>
    <t>Average</t>
  </si>
  <si>
    <t>Grupos</t>
  </si>
  <si>
    <t>Sum of Grupos</t>
  </si>
  <si>
    <t>Row Labels</t>
  </si>
  <si>
    <t>Grand Total</t>
  </si>
  <si>
    <t>Sum of Logged_Hours</t>
  </si>
  <si>
    <t>Average of Stow_Rate</t>
  </si>
  <si>
    <t>Sum of Unknown Idle %</t>
  </si>
  <si>
    <t>Sum of Horas Unknown</t>
  </si>
  <si>
    <t>Qty 1,2,3,4</t>
  </si>
  <si>
    <t xml:space="preserve">Horas de Unknown en base a grupo </t>
  </si>
  <si>
    <t>Login</t>
  </si>
  <si>
    <t>Expected_task</t>
  </si>
  <si>
    <t>Actual_task</t>
  </si>
  <si>
    <t>RSP_Stow</t>
  </si>
  <si>
    <t>IB_Omniscan</t>
  </si>
  <si>
    <t>IB_Decant</t>
  </si>
  <si>
    <t>ICQA_Simple_Bin_Count</t>
  </si>
  <si>
    <t>RSP_Q_Stow</t>
  </si>
  <si>
    <t>egarmar</t>
  </si>
  <si>
    <t>IB_Dock_Admin_IM</t>
  </si>
  <si>
    <t>IB_TR</t>
  </si>
  <si>
    <t>RSP_Cart_Builder</t>
  </si>
  <si>
    <t>IB_CorralChampion</t>
  </si>
  <si>
    <t>jmolinaq</t>
  </si>
  <si>
    <t>IB_CM</t>
  </si>
  <si>
    <t>murciabe</t>
  </si>
  <si>
    <t>IB_Jambuster</t>
  </si>
  <si>
    <t>ourkiabm</t>
  </si>
  <si>
    <t>IB_IM</t>
  </si>
  <si>
    <t>OB_Tote_runner</t>
  </si>
  <si>
    <t>IB_Desapilar_Descargar</t>
  </si>
  <si>
    <t>IB_Remove</t>
  </si>
  <si>
    <t>IB_POUT</t>
  </si>
  <si>
    <t>antabelw</t>
  </si>
  <si>
    <t>IB_Pallet_Decant</t>
  </si>
  <si>
    <t>IB_Receive</t>
  </si>
  <si>
    <t>antjpere</t>
  </si>
  <si>
    <t>RSP_Stow_Pallet</t>
  </si>
  <si>
    <t>IB_Corral</t>
  </si>
  <si>
    <t>IB_Prep</t>
  </si>
  <si>
    <t>padsjohn</t>
  </si>
  <si>
    <t>qlopalba</t>
  </si>
  <si>
    <t>IB_Pending_Prep</t>
  </si>
  <si>
    <t>RSP_Pick</t>
  </si>
  <si>
    <t>DOCK_BOX</t>
  </si>
  <si>
    <t>brocalmr</t>
  </si>
  <si>
    <t>OB_SM</t>
  </si>
  <si>
    <t>IB_DOCK_OM</t>
  </si>
  <si>
    <t>IB_DOCK_GHO_v2</t>
  </si>
  <si>
    <t>OB_CHUTING</t>
  </si>
  <si>
    <t>ICQA</t>
  </si>
  <si>
    <t>OB_P2R</t>
  </si>
  <si>
    <t>RSP_AFM</t>
  </si>
  <si>
    <t>IB_Cubis</t>
  </si>
  <si>
    <t>cararism</t>
  </si>
  <si>
    <t>OB_WS</t>
  </si>
  <si>
    <t>karlamba</t>
  </si>
  <si>
    <t>IB_TT_RCV_SW</t>
  </si>
  <si>
    <t>OTHERS_5S</t>
  </si>
  <si>
    <t>wangalbu</t>
  </si>
  <si>
    <t>ingrreye</t>
  </si>
  <si>
    <t>aziztoba</t>
  </si>
  <si>
    <t>domiorgi</t>
  </si>
  <si>
    <t>OB_FORMADO_DIRECTA</t>
  </si>
  <si>
    <t>OTHERS_Engage</t>
  </si>
  <si>
    <t>lejaoro</t>
  </si>
  <si>
    <t>OB_SM2</t>
  </si>
  <si>
    <t>mguennan</t>
  </si>
  <si>
    <t>DOCK_FLAT</t>
  </si>
  <si>
    <t>jeanhesp</t>
  </si>
  <si>
    <t>DOCK_PROCUREMENT</t>
  </si>
  <si>
    <t>DOCK_EBT</t>
  </si>
  <si>
    <t>SelectedIndirects</t>
  </si>
  <si>
    <t>moscjhos</t>
  </si>
  <si>
    <t>palaisra</t>
  </si>
  <si>
    <t>OB_PCNS1</t>
  </si>
  <si>
    <t>kantongo</t>
  </si>
  <si>
    <t>RSP_PickPallet</t>
  </si>
  <si>
    <t>OB_GW</t>
  </si>
  <si>
    <t>qraquepo</t>
  </si>
  <si>
    <t>********</t>
  </si>
  <si>
    <t>begonogu</t>
  </si>
  <si>
    <t>RSP_AFM_PG</t>
  </si>
  <si>
    <t xml:space="preserve">lopezagr </t>
  </si>
  <si>
    <t>lorpatrl</t>
  </si>
  <si>
    <t>marrique</t>
  </si>
  <si>
    <t>pablnico</t>
  </si>
  <si>
    <t>diespinf</t>
  </si>
  <si>
    <t>javdeloc</t>
  </si>
  <si>
    <t>Count of Expected_task</t>
  </si>
  <si>
    <t>NºFallos</t>
  </si>
  <si>
    <t>Count of Actual_task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</si>
</sst>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0.0"/>
  </numFmts>
  <fonts count="8" x14ac:knownFonts="1">
    <font>
      <sz val="11"/>
      <color theme="1"/>
      <name val="Calibri"/>
      <family val="2"/>
      <scheme val="minor"/>
    </font>
    <font>
      <sz val="12"/>
      <color rgb="FF212121"/>
      <name val="Amazon Ember"/>
      <family val="2"/>
    </font>
    <font>
      <b/>
      <sz val="12"/>
      <color rgb="FF212121"/>
      <name val="Amazon Ember"/>
      <family val="2"/>
    </font>
    <font>
      <sz val="10"/>
      <color theme="1"/>
      <name val="Verdana Pro Semibold"/>
      <family val="2"/>
    </font>
    <font>
      <sz val="9"/>
      <color indexed="81"/>
      <name val="Tahoma"/>
      <family val="2"/>
    </font>
    <font>
      <b/>
      <sz val="9"/>
      <color indexed="81"/>
      <name val="Tahoma"/>
      <family val="2"/>
    </font>
    <font>
      <sz val="9"/>
      <color indexed="81"/>
      <name val="Tahoma"/>
      <charset val="1"/>
    </font>
    <font>
      <b/>
      <sz val="9"/>
      <color indexed="81"/>
      <name val="Tahoma"/>
      <charset val="1"/>
    </font>
  </fonts>
  <fills count="8">
    <fill>
      <patternFill patternType="none"/>
    </fill>
    <fill>
      <patternFill patternType="gray125"/>
    </fill>
    <fill>
      <patternFill patternType="solid">
        <fgColor rgb="FFFFFFFF"/>
      </patternFill>
    </fill>
    <fill>
      <patternFill patternType="solid">
        <fgColor rgb="FFF6F6F6"/>
      </patternFill>
    </fill>
    <fill>
      <patternFill patternType="solid">
        <fgColor theme="4" tint="0.59999389629810485"/>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theme="6" tint="0.59999389629810485"/>
        <bgColor indexed="64"/>
      </patternFill>
    </fill>
  </fills>
  <borders count="8">
    <border>
      <left/>
      <right/>
      <top/>
      <bottom/>
      <diagonal/>
    </border>
    <border>
      <left style="thin">
        <color rgb="FFD4D4D4"/>
      </left>
      <right style="thin">
        <color rgb="FFD4D4D4"/>
      </right>
      <top style="thin">
        <color rgb="FFD4D4D4"/>
      </top>
      <bottom style="thin">
        <color rgb="FFD4D4D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s>
  <cellStyleXfs count="1">
    <xf numFmtId="0" fontId="0" fillId="0" borderId="0"/>
  </cellStyleXfs>
  <cellXfs count="36">
    <xf numFmtId="0" fontId="0" fillId="0" borderId="0" xfId="0"/>
    <xf numFmtId="0" fontId="0" fillId="0" borderId="0" xfId="0" applyAlignment="1">
      <alignment vertical="center" wrapText="1"/>
    </xf>
    <xf numFmtId="3" fontId="0" fillId="0" borderId="0" xfId="0" applyNumberFormat="1" applyAlignment="1">
      <alignment vertical="center" wrapText="1"/>
    </xf>
    <xf numFmtId="0" fontId="0" fillId="4" borderId="0" xfId="0" applyFill="1" applyAlignment="1">
      <alignment vertical="center" wrapText="1"/>
    </xf>
    <xf numFmtId="0" fontId="0" fillId="4" borderId="0" xfId="0" applyFill="1"/>
    <xf numFmtId="0" fontId="0" fillId="0" borderId="0" xfId="0"/>
    <xf numFmtId="0" fontId="2" fillId="3" borderId="1" xfId="0" applyFont="1" applyFill="1" applyBorder="1" applyAlignment="1">
      <alignment horizontal="left" vertical="center" wrapText="1" indent="2"/>
    </xf>
    <xf numFmtId="164" fontId="2" fillId="3" borderId="1" xfId="0" applyNumberFormat="1" applyFont="1" applyFill="1" applyBorder="1" applyAlignment="1">
      <alignment horizontal="right" vertical="center" wrapText="1"/>
    </xf>
    <xf numFmtId="0" fontId="1" fillId="2" borderId="1" xfId="0" applyFont="1" applyFill="1" applyBorder="1" applyAlignment="1">
      <alignment horizontal="left" vertical="center" wrapText="1" indent="4"/>
    </xf>
    <xf numFmtId="164" fontId="1" fillId="2" borderId="1" xfId="0" applyNumberFormat="1" applyFont="1" applyFill="1" applyBorder="1" applyAlignment="1">
      <alignment horizontal="right" vertical="center" wrapText="1"/>
    </xf>
    <xf numFmtId="37" fontId="1" fillId="2" borderId="1" xfId="0" applyNumberFormat="1" applyFont="1" applyFill="1" applyBorder="1" applyAlignment="1">
      <alignment horizontal="right" vertical="center" wrapText="1"/>
    </xf>
    <xf numFmtId="37" fontId="2" fillId="3" borderId="1" xfId="0" applyNumberFormat="1" applyFont="1" applyFill="1" applyBorder="1" applyAlignment="1">
      <alignment horizontal="right" vertical="center" wrapText="1"/>
    </xf>
    <xf numFmtId="0" fontId="0" fillId="0" borderId="0" xfId="0" applyFont="1" applyAlignment="1">
      <alignment vertical="center" wrapText="1"/>
    </xf>
    <xf numFmtId="0" fontId="2" fillId="2" borderId="1" xfId="0" applyFont="1" applyFill="1" applyBorder="1" applyAlignment="1">
      <alignment horizontal="left" vertical="center" wrapText="1" indent="4"/>
    </xf>
    <xf numFmtId="3" fontId="0" fillId="4" borderId="0" xfId="0" applyNumberFormat="1" applyFill="1"/>
    <xf numFmtId="0" fontId="0" fillId="0" borderId="0" xfId="0" applyFill="1" applyAlignment="1">
      <alignment vertical="center" wrapText="1"/>
    </xf>
    <xf numFmtId="165" fontId="0" fillId="4" borderId="0" xfId="0" applyNumberFormat="1" applyFill="1"/>
    <xf numFmtId="0" fontId="0" fillId="0" borderId="0" xfId="0" applyNumberFormat="1"/>
    <xf numFmtId="0" fontId="0" fillId="0" borderId="0" xfId="0" pivotButton="1"/>
    <xf numFmtId="0" fontId="0" fillId="0" borderId="0" xfId="0" applyAlignment="1">
      <alignment horizontal="left"/>
    </xf>
    <xf numFmtId="2" fontId="0" fillId="0" borderId="0" xfId="0" applyNumberFormat="1"/>
    <xf numFmtId="0" fontId="0" fillId="0" borderId="2" xfId="0" applyBorder="1"/>
    <xf numFmtId="0" fontId="0" fillId="0" borderId="3" xfId="0" applyBorder="1"/>
    <xf numFmtId="0" fontId="0" fillId="0" borderId="4" xfId="0" applyBorder="1"/>
    <xf numFmtId="0" fontId="0" fillId="0" borderId="5" xfId="0" applyBorder="1"/>
    <xf numFmtId="0" fontId="0" fillId="0" borderId="7" xfId="0" applyBorder="1"/>
    <xf numFmtId="3" fontId="0" fillId="0" borderId="0" xfId="0" applyNumberFormat="1" applyBorder="1"/>
    <xf numFmtId="0" fontId="0" fillId="0" borderId="0" xfId="0" applyBorder="1"/>
    <xf numFmtId="0" fontId="0" fillId="0" borderId="6" xfId="0" applyBorder="1"/>
    <xf numFmtId="0" fontId="3" fillId="0" borderId="0" xfId="0" applyFont="1" applyAlignment="1">
      <alignment vertical="center"/>
    </xf>
    <xf numFmtId="0" fontId="3" fillId="0" borderId="0" xfId="0" applyFont="1"/>
    <xf numFmtId="0" fontId="3" fillId="5" borderId="0" xfId="0" applyFont="1" applyFill="1" applyAlignment="1">
      <alignment vertical="center"/>
    </xf>
    <xf numFmtId="0" fontId="3" fillId="5" borderId="0" xfId="0" applyFont="1" applyFill="1"/>
    <xf numFmtId="0" fontId="0" fillId="5" borderId="0" xfId="0" applyFill="1"/>
    <xf numFmtId="0" fontId="3" fillId="6" borderId="0" xfId="0" applyFont="1" applyFill="1" applyAlignment="1">
      <alignment vertical="center"/>
    </xf>
    <xf numFmtId="0" fontId="3" fillId="7" borderId="0" xfId="0" applyFont="1" applyFill="1" applyAlignment="1">
      <alignment vertical="center"/>
    </xf>
  </cellXfs>
  <cellStyles count="1">
    <cellStyle name="Normal" xfId="0" builtinId="0"/>
  </cellStyles>
  <dxfs count="17">
    <dxf>
      <font>
        <color rgb="FF006100"/>
      </font>
      <fill>
        <patternFill>
          <bgColor rgb="FFC6EFCE"/>
        </patternFill>
      </fill>
    </dxf>
    <dxf>
      <fill>
        <patternFill>
          <bgColor theme="7" tint="0.59996337778862885"/>
        </patternFill>
      </fill>
    </dxf>
    <dxf>
      <fill>
        <patternFill>
          <bgColor rgb="FFFFC000"/>
        </patternFill>
      </fill>
    </dxf>
    <dxf>
      <fill>
        <patternFill>
          <bgColor rgb="FFFFFF00"/>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006100"/>
      </font>
      <fill>
        <patternFill>
          <bgColor rgb="FFC6EFCE"/>
        </patternFill>
      </fill>
    </dxf>
    <dxf>
      <fill>
        <patternFill>
          <bgColor theme="7" tint="0.59996337778862885"/>
        </patternFill>
      </fill>
    </dxf>
    <dxf>
      <fill>
        <patternFill>
          <bgColor rgb="FFFFC000"/>
        </patternFill>
      </fill>
    </dxf>
    <dxf>
      <fill>
        <patternFill>
          <bgColor rgb="FFFFFF00"/>
        </patternFill>
      </fill>
    </dxf>
    <dxf>
      <font>
        <color rgb="FF9C0006"/>
      </font>
      <fill>
        <patternFill>
          <bgColor rgb="FFFFC7CE"/>
        </patternFill>
      </fill>
    </dxf>
    <dxf>
      <font>
        <color rgb="FF9C0006"/>
      </font>
      <fill>
        <patternFill>
          <bgColor rgb="FFFFC7CE"/>
        </patternFill>
      </fill>
    </dxf>
    <dxf>
      <fill>
        <patternFill>
          <bgColor rgb="FFFFC000"/>
        </patternFill>
      </fill>
    </dxf>
    <dxf>
      <fill>
        <patternFill>
          <bgColor theme="9"/>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3.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pivotCacheDefinition" Target="pivotCache/pivotCacheDefinition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connections" Target="connections.xml"/><Relationship Id="rId20" Type="http://schemas.openxmlformats.org/officeDocument/2006/relationships/powerPivotData" Target="model/item.data"/><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1.xml"/><Relationship Id="rId22"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UIT</a:t>
            </a:r>
            <a:r>
              <a:rPr lang="en-US" baseline="0"/>
              <a:t> vs Rate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Graf</c:v>
          </c:tx>
          <c:spPr>
            <a:ln w="1905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0"/>
          </c:trendline>
          <c:xVal>
            <c:numRef>
              <c:f>' Stow 15-30Jun'!$C$2:$C$534</c:f>
              <c:numCache>
                <c:formatCode>General</c:formatCode>
                <c:ptCount val="533"/>
                <c:pt idx="2" formatCode="#,##0">
                  <c:v>217033</c:v>
                </c:pt>
                <c:pt idx="3" formatCode="#,##0">
                  <c:v>309582</c:v>
                </c:pt>
                <c:pt idx="4" formatCode="#,##0">
                  <c:v>169317</c:v>
                </c:pt>
                <c:pt idx="5" formatCode="#,##0">
                  <c:v>318425</c:v>
                </c:pt>
                <c:pt idx="6" formatCode="#,##0">
                  <c:v>360931</c:v>
                </c:pt>
                <c:pt idx="7" formatCode="#,##0">
                  <c:v>53607</c:v>
                </c:pt>
                <c:pt idx="8" formatCode="#,##0">
                  <c:v>211427</c:v>
                </c:pt>
                <c:pt idx="9" formatCode="#,##0">
                  <c:v>221942</c:v>
                </c:pt>
                <c:pt idx="10">
                  <c:v>131.16999999999999</c:v>
                </c:pt>
                <c:pt idx="11" formatCode="#,##0">
                  <c:v>186584</c:v>
                </c:pt>
                <c:pt idx="12" formatCode="#,##0">
                  <c:v>164095</c:v>
                </c:pt>
                <c:pt idx="13" formatCode="#,##0">
                  <c:v>301909</c:v>
                </c:pt>
                <c:pt idx="14" formatCode="#,##0">
                  <c:v>127571</c:v>
                </c:pt>
                <c:pt idx="15" formatCode="#,##0">
                  <c:v>173515</c:v>
                </c:pt>
                <c:pt idx="16" formatCode="#,##0">
                  <c:v>263649</c:v>
                </c:pt>
                <c:pt idx="17">
                  <c:v>125.71</c:v>
                </c:pt>
                <c:pt idx="18" formatCode="#,##0">
                  <c:v>329283</c:v>
                </c:pt>
                <c:pt idx="19" formatCode="#,##0">
                  <c:v>67635</c:v>
                </c:pt>
                <c:pt idx="20" formatCode="#,##0">
                  <c:v>326027</c:v>
                </c:pt>
                <c:pt idx="21" formatCode="#,##0">
                  <c:v>121963</c:v>
                </c:pt>
                <c:pt idx="22" formatCode="#,##0">
                  <c:v>178859</c:v>
                </c:pt>
                <c:pt idx="23" formatCode="#,##0">
                  <c:v>144467</c:v>
                </c:pt>
                <c:pt idx="24" formatCode="#,##0">
                  <c:v>114035</c:v>
                </c:pt>
                <c:pt idx="25" formatCode="#,##0">
                  <c:v>213257</c:v>
                </c:pt>
                <c:pt idx="26" formatCode="#,##0">
                  <c:v>211359</c:v>
                </c:pt>
                <c:pt idx="27" formatCode="#,##0">
                  <c:v>283737</c:v>
                </c:pt>
                <c:pt idx="28" formatCode="#,##0">
                  <c:v>400253</c:v>
                </c:pt>
                <c:pt idx="29" formatCode="#,##0">
                  <c:v>276833</c:v>
                </c:pt>
                <c:pt idx="30" formatCode="#,##0">
                  <c:v>115623</c:v>
                </c:pt>
                <c:pt idx="31" formatCode="#,##0">
                  <c:v>273326</c:v>
                </c:pt>
                <c:pt idx="32" formatCode="#,##0">
                  <c:v>286621</c:v>
                </c:pt>
                <c:pt idx="33" formatCode="#,##0">
                  <c:v>247478</c:v>
                </c:pt>
                <c:pt idx="34" formatCode="#,##0">
                  <c:v>150476</c:v>
                </c:pt>
                <c:pt idx="35" formatCode="#,##0">
                  <c:v>343894</c:v>
                </c:pt>
                <c:pt idx="36">
                  <c:v>336.96</c:v>
                </c:pt>
                <c:pt idx="37" formatCode="#,##0">
                  <c:v>229632</c:v>
                </c:pt>
                <c:pt idx="38" formatCode="#,##0">
                  <c:v>215947</c:v>
                </c:pt>
                <c:pt idx="39" formatCode="#,##0">
                  <c:v>194807</c:v>
                </c:pt>
                <c:pt idx="40" formatCode="#,##0">
                  <c:v>239122</c:v>
                </c:pt>
                <c:pt idx="41" formatCode="#,##0">
                  <c:v>119011</c:v>
                </c:pt>
                <c:pt idx="42" formatCode="#,##0">
                  <c:v>361594</c:v>
                </c:pt>
                <c:pt idx="43" formatCode="#,##0">
                  <c:v>249514</c:v>
                </c:pt>
                <c:pt idx="44" formatCode="#,##0">
                  <c:v>371694</c:v>
                </c:pt>
                <c:pt idx="45" formatCode="#,##0">
                  <c:v>196111</c:v>
                </c:pt>
                <c:pt idx="46" formatCode="#,##0">
                  <c:v>162198</c:v>
                </c:pt>
                <c:pt idx="47" formatCode="#,##0">
                  <c:v>179862</c:v>
                </c:pt>
                <c:pt idx="48" formatCode="#,##0">
                  <c:v>315347</c:v>
                </c:pt>
                <c:pt idx="49" formatCode="#,##0">
                  <c:v>173602</c:v>
                </c:pt>
                <c:pt idx="50">
                  <c:v>189.29</c:v>
                </c:pt>
                <c:pt idx="51" formatCode="#,##0">
                  <c:v>191742</c:v>
                </c:pt>
                <c:pt idx="52" formatCode="#,##0">
                  <c:v>406664</c:v>
                </c:pt>
                <c:pt idx="53" formatCode="#,##0">
                  <c:v>137856</c:v>
                </c:pt>
                <c:pt idx="54" formatCode="#,##0">
                  <c:v>187352</c:v>
                </c:pt>
                <c:pt idx="55" formatCode="#,##0">
                  <c:v>272011</c:v>
                </c:pt>
                <c:pt idx="56" formatCode="#,##0">
                  <c:v>243363</c:v>
                </c:pt>
                <c:pt idx="57" formatCode="#,##0">
                  <c:v>306961</c:v>
                </c:pt>
                <c:pt idx="58" formatCode="#,##0">
                  <c:v>142953</c:v>
                </c:pt>
                <c:pt idx="59" formatCode="#,##0">
                  <c:v>318591</c:v>
                </c:pt>
                <c:pt idx="60" formatCode="#,##0">
                  <c:v>137197</c:v>
                </c:pt>
                <c:pt idx="61" formatCode="#,##0">
                  <c:v>191375</c:v>
                </c:pt>
                <c:pt idx="62" formatCode="#,##0">
                  <c:v>235946</c:v>
                </c:pt>
                <c:pt idx="63" formatCode="#,##0">
                  <c:v>361421</c:v>
                </c:pt>
                <c:pt idx="64" formatCode="#,##0">
                  <c:v>181118</c:v>
                </c:pt>
                <c:pt idx="65">
                  <c:v>259.48</c:v>
                </c:pt>
                <c:pt idx="66">
                  <c:v>202.93</c:v>
                </c:pt>
                <c:pt idx="67" formatCode="#,##0">
                  <c:v>233611</c:v>
                </c:pt>
                <c:pt idx="68" formatCode="#,##0">
                  <c:v>246752</c:v>
                </c:pt>
                <c:pt idx="69" formatCode="#,##0">
                  <c:v>283102</c:v>
                </c:pt>
                <c:pt idx="70" formatCode="#,##0">
                  <c:v>200866</c:v>
                </c:pt>
                <c:pt idx="71" formatCode="#,##0">
                  <c:v>256383</c:v>
                </c:pt>
                <c:pt idx="72" formatCode="#,##0">
                  <c:v>263465</c:v>
                </c:pt>
                <c:pt idx="73" formatCode="#,##0">
                  <c:v>220095</c:v>
                </c:pt>
                <c:pt idx="74" formatCode="#,##0">
                  <c:v>269392</c:v>
                </c:pt>
                <c:pt idx="75" formatCode="#,##0">
                  <c:v>137351</c:v>
                </c:pt>
                <c:pt idx="76" formatCode="#,##0">
                  <c:v>354199</c:v>
                </c:pt>
                <c:pt idx="77" formatCode="#,##0">
                  <c:v>196837</c:v>
                </c:pt>
                <c:pt idx="78" formatCode="#,##0">
                  <c:v>311606</c:v>
                </c:pt>
                <c:pt idx="79" formatCode="#,##0">
                  <c:v>248797</c:v>
                </c:pt>
                <c:pt idx="80" formatCode="#,##0">
                  <c:v>259582</c:v>
                </c:pt>
                <c:pt idx="81">
                  <c:v>238.26</c:v>
                </c:pt>
                <c:pt idx="82" formatCode="#,##0">
                  <c:v>186145</c:v>
                </c:pt>
                <c:pt idx="83" formatCode="#,##0">
                  <c:v>282843</c:v>
                </c:pt>
                <c:pt idx="84" formatCode="#,##0">
                  <c:v>459994</c:v>
                </c:pt>
                <c:pt idx="85" formatCode="#,##0">
                  <c:v>328116</c:v>
                </c:pt>
                <c:pt idx="86" formatCode="#,##0">
                  <c:v>286884</c:v>
                </c:pt>
                <c:pt idx="87" formatCode="#,##0">
                  <c:v>169719</c:v>
                </c:pt>
                <c:pt idx="88" formatCode="#,##0">
                  <c:v>222249</c:v>
                </c:pt>
                <c:pt idx="89" formatCode="#,##0">
                  <c:v>172916</c:v>
                </c:pt>
                <c:pt idx="90" formatCode="#,##0">
                  <c:v>255579</c:v>
                </c:pt>
                <c:pt idx="91" formatCode="#,##0">
                  <c:v>261111</c:v>
                </c:pt>
                <c:pt idx="92" formatCode="#,##0">
                  <c:v>249187</c:v>
                </c:pt>
                <c:pt idx="93" formatCode="#,##0">
                  <c:v>316416</c:v>
                </c:pt>
                <c:pt idx="94" formatCode="#,##0">
                  <c:v>242157</c:v>
                </c:pt>
                <c:pt idx="95" formatCode="#,##0">
                  <c:v>309249</c:v>
                </c:pt>
                <c:pt idx="96">
                  <c:v>238.07</c:v>
                </c:pt>
                <c:pt idx="97" formatCode="#,##0">
                  <c:v>263792</c:v>
                </c:pt>
                <c:pt idx="98">
                  <c:v>290.48</c:v>
                </c:pt>
                <c:pt idx="99" formatCode="#,##0">
                  <c:v>360537</c:v>
                </c:pt>
                <c:pt idx="100" formatCode="#,##0">
                  <c:v>280316</c:v>
                </c:pt>
                <c:pt idx="101" formatCode="#,##0">
                  <c:v>156757</c:v>
                </c:pt>
                <c:pt idx="102" formatCode="#,##0">
                  <c:v>204311</c:v>
                </c:pt>
                <c:pt idx="103">
                  <c:v>210.95</c:v>
                </c:pt>
                <c:pt idx="104" formatCode="#,##0">
                  <c:v>309132</c:v>
                </c:pt>
                <c:pt idx="105" formatCode="#,##0">
                  <c:v>222749</c:v>
                </c:pt>
                <c:pt idx="106" formatCode="#,##0">
                  <c:v>207266</c:v>
                </c:pt>
                <c:pt idx="107" formatCode="#,##0">
                  <c:v>154256</c:v>
                </c:pt>
                <c:pt idx="108">
                  <c:v>241.05</c:v>
                </c:pt>
                <c:pt idx="109" formatCode="#,##0">
                  <c:v>114014</c:v>
                </c:pt>
                <c:pt idx="110" formatCode="#,##0">
                  <c:v>294666</c:v>
                </c:pt>
                <c:pt idx="111" formatCode="#,##0">
                  <c:v>161433</c:v>
                </c:pt>
                <c:pt idx="112" formatCode="#,##0">
                  <c:v>256197</c:v>
                </c:pt>
                <c:pt idx="113" formatCode="#,##0">
                  <c:v>206075</c:v>
                </c:pt>
                <c:pt idx="114" formatCode="#,##0">
                  <c:v>310321</c:v>
                </c:pt>
                <c:pt idx="115" formatCode="#,##0">
                  <c:v>302883</c:v>
                </c:pt>
                <c:pt idx="116" formatCode="#,##0">
                  <c:v>195735</c:v>
                </c:pt>
                <c:pt idx="117" formatCode="#,##0">
                  <c:v>215381</c:v>
                </c:pt>
                <c:pt idx="118" formatCode="#,##0">
                  <c:v>167281</c:v>
                </c:pt>
                <c:pt idx="119" formatCode="#,##0">
                  <c:v>166126</c:v>
                </c:pt>
                <c:pt idx="120" formatCode="#,##0">
                  <c:v>185562</c:v>
                </c:pt>
                <c:pt idx="121">
                  <c:v>305.02</c:v>
                </c:pt>
                <c:pt idx="122" formatCode="#,##0">
                  <c:v>251965</c:v>
                </c:pt>
                <c:pt idx="123" formatCode="#,##0">
                  <c:v>257931</c:v>
                </c:pt>
                <c:pt idx="124" formatCode="#,##0">
                  <c:v>123631</c:v>
                </c:pt>
                <c:pt idx="125" formatCode="#,##0">
                  <c:v>281504</c:v>
                </c:pt>
                <c:pt idx="126" formatCode="#,##0">
                  <c:v>349653</c:v>
                </c:pt>
                <c:pt idx="127" formatCode="#,##0">
                  <c:v>130474</c:v>
                </c:pt>
                <c:pt idx="128" formatCode="#,##0">
                  <c:v>220512</c:v>
                </c:pt>
                <c:pt idx="129">
                  <c:v>120.22</c:v>
                </c:pt>
                <c:pt idx="130" formatCode="#,##0">
                  <c:v>356097</c:v>
                </c:pt>
                <c:pt idx="131" formatCode="#,##0">
                  <c:v>150798</c:v>
                </c:pt>
                <c:pt idx="132" formatCode="#,##0">
                  <c:v>127326</c:v>
                </c:pt>
                <c:pt idx="133" formatCode="#,##0">
                  <c:v>156812</c:v>
                </c:pt>
                <c:pt idx="134" formatCode="#,##0">
                  <c:v>256266</c:v>
                </c:pt>
                <c:pt idx="135" formatCode="#,##0">
                  <c:v>102683</c:v>
                </c:pt>
                <c:pt idx="136" formatCode="#,##0">
                  <c:v>321274</c:v>
                </c:pt>
                <c:pt idx="137" formatCode="#,##0">
                  <c:v>302536</c:v>
                </c:pt>
                <c:pt idx="138" formatCode="#,##0">
                  <c:v>267288</c:v>
                </c:pt>
                <c:pt idx="139" formatCode="#,##0">
                  <c:v>225851</c:v>
                </c:pt>
                <c:pt idx="140" formatCode="#,##0">
                  <c:v>195189</c:v>
                </c:pt>
                <c:pt idx="141">
                  <c:v>326.41000000000003</c:v>
                </c:pt>
                <c:pt idx="142" formatCode="#,##0">
                  <c:v>259777</c:v>
                </c:pt>
                <c:pt idx="143" formatCode="#,##0">
                  <c:v>178619</c:v>
                </c:pt>
                <c:pt idx="144" formatCode="#,##0">
                  <c:v>198362</c:v>
                </c:pt>
                <c:pt idx="145">
                  <c:v>221.32</c:v>
                </c:pt>
                <c:pt idx="146" formatCode="#,##0">
                  <c:v>239514</c:v>
                </c:pt>
                <c:pt idx="147" formatCode="#,##0">
                  <c:v>186235</c:v>
                </c:pt>
                <c:pt idx="148" formatCode="#,##0">
                  <c:v>313427</c:v>
                </c:pt>
                <c:pt idx="149" formatCode="#,##0">
                  <c:v>212027</c:v>
                </c:pt>
                <c:pt idx="150" formatCode="#,##0">
                  <c:v>170588</c:v>
                </c:pt>
                <c:pt idx="151" formatCode="#,##0">
                  <c:v>274295</c:v>
                </c:pt>
                <c:pt idx="152" formatCode="#,##0">
                  <c:v>277584</c:v>
                </c:pt>
                <c:pt idx="153" formatCode="#,##0">
                  <c:v>175679</c:v>
                </c:pt>
                <c:pt idx="154" formatCode="#,##0">
                  <c:v>179532</c:v>
                </c:pt>
                <c:pt idx="155" formatCode="#,##0">
                  <c:v>302423</c:v>
                </c:pt>
                <c:pt idx="156">
                  <c:v>250.09</c:v>
                </c:pt>
                <c:pt idx="157" formatCode="#,##0">
                  <c:v>221902</c:v>
                </c:pt>
                <c:pt idx="158" formatCode="#,##0">
                  <c:v>288376</c:v>
                </c:pt>
                <c:pt idx="159" formatCode="#,##0">
                  <c:v>304121</c:v>
                </c:pt>
                <c:pt idx="160" formatCode="#,##0">
                  <c:v>284747</c:v>
                </c:pt>
                <c:pt idx="161" formatCode="#,##0">
                  <c:v>226285</c:v>
                </c:pt>
                <c:pt idx="162" formatCode="#,##0">
                  <c:v>178121</c:v>
                </c:pt>
                <c:pt idx="163" formatCode="#,##0">
                  <c:v>349945</c:v>
                </c:pt>
                <c:pt idx="164" formatCode="#,##0">
                  <c:v>243903</c:v>
                </c:pt>
                <c:pt idx="165" formatCode="#,##0">
                  <c:v>310888</c:v>
                </c:pt>
                <c:pt idx="166" formatCode="#,##0">
                  <c:v>258622</c:v>
                </c:pt>
                <c:pt idx="167" formatCode="#,##0">
                  <c:v>276018</c:v>
                </c:pt>
                <c:pt idx="168" formatCode="#,##0">
                  <c:v>331219</c:v>
                </c:pt>
                <c:pt idx="169" formatCode="#,##0">
                  <c:v>295561</c:v>
                </c:pt>
                <c:pt idx="170" formatCode="#,##0">
                  <c:v>320245</c:v>
                </c:pt>
                <c:pt idx="171" formatCode="#,##0">
                  <c:v>250461</c:v>
                </c:pt>
                <c:pt idx="172" formatCode="#,##0">
                  <c:v>219039</c:v>
                </c:pt>
                <c:pt idx="173" formatCode="#,##0">
                  <c:v>329889</c:v>
                </c:pt>
                <c:pt idx="174" formatCode="#,##0">
                  <c:v>465977</c:v>
                </c:pt>
                <c:pt idx="175">
                  <c:v>288.74</c:v>
                </c:pt>
                <c:pt idx="176">
                  <c:v>229.91</c:v>
                </c:pt>
                <c:pt idx="177" formatCode="#,##0">
                  <c:v>255927</c:v>
                </c:pt>
                <c:pt idx="178">
                  <c:v>222.83</c:v>
                </c:pt>
                <c:pt idx="179" formatCode="#,##0">
                  <c:v>411462</c:v>
                </c:pt>
                <c:pt idx="180" formatCode="#,##0">
                  <c:v>307723</c:v>
                </c:pt>
                <c:pt idx="181" formatCode="#,##0">
                  <c:v>307724</c:v>
                </c:pt>
                <c:pt idx="182" formatCode="#,##0">
                  <c:v>275362</c:v>
                </c:pt>
                <c:pt idx="183" formatCode="#,##0">
                  <c:v>274264</c:v>
                </c:pt>
                <c:pt idx="184" formatCode="#,##0">
                  <c:v>337169</c:v>
                </c:pt>
                <c:pt idx="185" formatCode="#,##0">
                  <c:v>212254</c:v>
                </c:pt>
                <c:pt idx="186" formatCode="#,##0">
                  <c:v>282591</c:v>
                </c:pt>
                <c:pt idx="187" formatCode="#,##0">
                  <c:v>282872</c:v>
                </c:pt>
                <c:pt idx="188" formatCode="#,##0">
                  <c:v>309731</c:v>
                </c:pt>
                <c:pt idx="189" formatCode="#,##0">
                  <c:v>239183</c:v>
                </c:pt>
                <c:pt idx="190" formatCode="#,##0">
                  <c:v>260271</c:v>
                </c:pt>
                <c:pt idx="191" formatCode="#,##0">
                  <c:v>261078</c:v>
                </c:pt>
                <c:pt idx="192" formatCode="#,##0">
                  <c:v>195022</c:v>
                </c:pt>
                <c:pt idx="193" formatCode="#,##0">
                  <c:v>303977</c:v>
                </c:pt>
                <c:pt idx="194" formatCode="#,##0">
                  <c:v>229379</c:v>
                </c:pt>
                <c:pt idx="195" formatCode="#,##0">
                  <c:v>259932</c:v>
                </c:pt>
                <c:pt idx="196" formatCode="#,##0">
                  <c:v>170935</c:v>
                </c:pt>
                <c:pt idx="197" formatCode="#,##0">
                  <c:v>353957</c:v>
                </c:pt>
                <c:pt idx="198" formatCode="#,##0">
                  <c:v>189938</c:v>
                </c:pt>
                <c:pt idx="199" formatCode="#,##0">
                  <c:v>276024</c:v>
                </c:pt>
                <c:pt idx="200" formatCode="#,##0">
                  <c:v>251318</c:v>
                </c:pt>
                <c:pt idx="201" formatCode="#,##0">
                  <c:v>212385</c:v>
                </c:pt>
                <c:pt idx="202" formatCode="#,##0">
                  <c:v>273407</c:v>
                </c:pt>
                <c:pt idx="203" formatCode="#,##0">
                  <c:v>268606</c:v>
                </c:pt>
                <c:pt idx="204" formatCode="#,##0">
                  <c:v>198109</c:v>
                </c:pt>
                <c:pt idx="205">
                  <c:v>202.21</c:v>
                </c:pt>
                <c:pt idx="206" formatCode="#,##0">
                  <c:v>284139</c:v>
                </c:pt>
                <c:pt idx="207" formatCode="#,##0">
                  <c:v>122133</c:v>
                </c:pt>
                <c:pt idx="208">
                  <c:v>166.46</c:v>
                </c:pt>
                <c:pt idx="209">
                  <c:v>142.19999999999999</c:v>
                </c:pt>
                <c:pt idx="210" formatCode="#,##0">
                  <c:v>264182</c:v>
                </c:pt>
                <c:pt idx="211" formatCode="#,##0">
                  <c:v>309128</c:v>
                </c:pt>
                <c:pt idx="212" formatCode="#,##0">
                  <c:v>272006</c:v>
                </c:pt>
                <c:pt idx="213" formatCode="#,##0">
                  <c:v>214167</c:v>
                </c:pt>
                <c:pt idx="214" formatCode="#,##0">
                  <c:v>290956</c:v>
                </c:pt>
                <c:pt idx="215" formatCode="#,##0">
                  <c:v>305529</c:v>
                </c:pt>
                <c:pt idx="216" formatCode="#,##0">
                  <c:v>286599</c:v>
                </c:pt>
                <c:pt idx="217" formatCode="#,##0">
                  <c:v>275875</c:v>
                </c:pt>
                <c:pt idx="218" formatCode="#,##0">
                  <c:v>225013</c:v>
                </c:pt>
                <c:pt idx="219" formatCode="#,##0">
                  <c:v>225798</c:v>
                </c:pt>
                <c:pt idx="220" formatCode="#,##0">
                  <c:v>468152</c:v>
                </c:pt>
                <c:pt idx="221" formatCode="#,##0">
                  <c:v>332309</c:v>
                </c:pt>
                <c:pt idx="222" formatCode="#,##0">
                  <c:v>194487</c:v>
                </c:pt>
                <c:pt idx="223" formatCode="#,##0">
                  <c:v>281903</c:v>
                </c:pt>
                <c:pt idx="224" formatCode="#,##0">
                  <c:v>343307</c:v>
                </c:pt>
                <c:pt idx="225" formatCode="#,##0">
                  <c:v>263202</c:v>
                </c:pt>
                <c:pt idx="226" formatCode="#,##0">
                  <c:v>215513</c:v>
                </c:pt>
                <c:pt idx="227" formatCode="#,##0">
                  <c:v>170656</c:v>
                </c:pt>
                <c:pt idx="228" formatCode="#,##0">
                  <c:v>272182</c:v>
                </c:pt>
                <c:pt idx="229" formatCode="#,##0">
                  <c:v>219597</c:v>
                </c:pt>
                <c:pt idx="232" formatCode="#,##0">
                  <c:v>222327.37175438597</c:v>
                </c:pt>
                <c:pt idx="233" formatCode="#,##0">
                  <c:v>261243</c:v>
                </c:pt>
                <c:pt idx="234" formatCode="#,##0">
                  <c:v>250465</c:v>
                </c:pt>
                <c:pt idx="235" formatCode="#,##0">
                  <c:v>211657</c:v>
                </c:pt>
                <c:pt idx="236" formatCode="#,##0">
                  <c:v>371722</c:v>
                </c:pt>
                <c:pt idx="237" formatCode="#,##0">
                  <c:v>250227</c:v>
                </c:pt>
                <c:pt idx="238" formatCode="#,##0">
                  <c:v>173188</c:v>
                </c:pt>
                <c:pt idx="239" formatCode="#,##0">
                  <c:v>140297</c:v>
                </c:pt>
                <c:pt idx="240" formatCode="#,##0">
                  <c:v>268977</c:v>
                </c:pt>
                <c:pt idx="241">
                  <c:v>229.41</c:v>
                </c:pt>
                <c:pt idx="242" formatCode="#,##0">
                  <c:v>287157</c:v>
                </c:pt>
                <c:pt idx="243" formatCode="#,##0">
                  <c:v>438621</c:v>
                </c:pt>
                <c:pt idx="244" formatCode="#,##0">
                  <c:v>112894</c:v>
                </c:pt>
                <c:pt idx="245" formatCode="#,##0">
                  <c:v>210094</c:v>
                </c:pt>
                <c:pt idx="246" formatCode="#,##0">
                  <c:v>297753</c:v>
                </c:pt>
                <c:pt idx="247" formatCode="#,##0">
                  <c:v>295639</c:v>
                </c:pt>
                <c:pt idx="248" formatCode="#,##0">
                  <c:v>312303</c:v>
                </c:pt>
                <c:pt idx="249" formatCode="#,##0">
                  <c:v>194846</c:v>
                </c:pt>
                <c:pt idx="250" formatCode="#,##0">
                  <c:v>335549</c:v>
                </c:pt>
                <c:pt idx="251" formatCode="#,##0">
                  <c:v>197775</c:v>
                </c:pt>
                <c:pt idx="252" formatCode="#,##0">
                  <c:v>242345</c:v>
                </c:pt>
                <c:pt idx="253" formatCode="#,##0">
                  <c:v>264269</c:v>
                </c:pt>
                <c:pt idx="254" formatCode="#,##0">
                  <c:v>194931</c:v>
                </c:pt>
                <c:pt idx="255" formatCode="#,##0">
                  <c:v>200146</c:v>
                </c:pt>
                <c:pt idx="256" formatCode="#,##0">
                  <c:v>213458</c:v>
                </c:pt>
                <c:pt idx="257" formatCode="#,##0">
                  <c:v>172057</c:v>
                </c:pt>
                <c:pt idx="258" formatCode="#,##0">
                  <c:v>317869</c:v>
                </c:pt>
                <c:pt idx="259" formatCode="#,##0">
                  <c:v>310861</c:v>
                </c:pt>
                <c:pt idx="260" formatCode="#,##0">
                  <c:v>284149</c:v>
                </c:pt>
                <c:pt idx="261" formatCode="#,##0">
                  <c:v>360678</c:v>
                </c:pt>
                <c:pt idx="262" formatCode="#,##0">
                  <c:v>288435</c:v>
                </c:pt>
                <c:pt idx="263" formatCode="#,##0">
                  <c:v>222472</c:v>
                </c:pt>
                <c:pt idx="264" formatCode="#,##0">
                  <c:v>317458</c:v>
                </c:pt>
                <c:pt idx="265" formatCode="#,##0">
                  <c:v>300137</c:v>
                </c:pt>
                <c:pt idx="266" formatCode="#,##0">
                  <c:v>171757</c:v>
                </c:pt>
                <c:pt idx="267" formatCode="#,##0">
                  <c:v>277134</c:v>
                </c:pt>
                <c:pt idx="268">
                  <c:v>162.62</c:v>
                </c:pt>
                <c:pt idx="269">
                  <c:v>307.25</c:v>
                </c:pt>
                <c:pt idx="270" formatCode="#,##0">
                  <c:v>269013</c:v>
                </c:pt>
                <c:pt idx="271" formatCode="#,##0">
                  <c:v>268161</c:v>
                </c:pt>
                <c:pt idx="272" formatCode="#,##0">
                  <c:v>188115</c:v>
                </c:pt>
                <c:pt idx="273" formatCode="#,##0">
                  <c:v>300045</c:v>
                </c:pt>
                <c:pt idx="274" formatCode="#,##0">
                  <c:v>200441</c:v>
                </c:pt>
                <c:pt idx="275" formatCode="#,##0">
                  <c:v>366629</c:v>
                </c:pt>
                <c:pt idx="276" formatCode="#,##0">
                  <c:v>186852</c:v>
                </c:pt>
                <c:pt idx="277" formatCode="#,##0">
                  <c:v>262191</c:v>
                </c:pt>
                <c:pt idx="278" formatCode="#,##0">
                  <c:v>399746</c:v>
                </c:pt>
                <c:pt idx="279" formatCode="#,##0">
                  <c:v>312143</c:v>
                </c:pt>
                <c:pt idx="280">
                  <c:v>254.58</c:v>
                </c:pt>
                <c:pt idx="281" formatCode="#,##0">
                  <c:v>320616</c:v>
                </c:pt>
                <c:pt idx="282" formatCode="#,##0">
                  <c:v>347324</c:v>
                </c:pt>
                <c:pt idx="283">
                  <c:v>340.86</c:v>
                </c:pt>
                <c:pt idx="284" formatCode="#,##0">
                  <c:v>432913</c:v>
                </c:pt>
                <c:pt idx="285" formatCode="#,##0">
                  <c:v>301086</c:v>
                </c:pt>
                <c:pt idx="286" formatCode="#,##0">
                  <c:v>226202</c:v>
                </c:pt>
                <c:pt idx="287" formatCode="#,##0">
                  <c:v>263621</c:v>
                </c:pt>
                <c:pt idx="288" formatCode="#,##0">
                  <c:v>339859</c:v>
                </c:pt>
                <c:pt idx="289" formatCode="#,##0">
                  <c:v>253562</c:v>
                </c:pt>
                <c:pt idx="290" formatCode="#,##0">
                  <c:v>255227</c:v>
                </c:pt>
                <c:pt idx="291" formatCode="#,##0">
                  <c:v>590207</c:v>
                </c:pt>
                <c:pt idx="292" formatCode="#,##0">
                  <c:v>208535</c:v>
                </c:pt>
                <c:pt idx="293">
                  <c:v>228.36</c:v>
                </c:pt>
                <c:pt idx="294" formatCode="#,##0">
                  <c:v>195201</c:v>
                </c:pt>
                <c:pt idx="295" formatCode="#,##0">
                  <c:v>401263</c:v>
                </c:pt>
                <c:pt idx="296">
                  <c:v>199.14</c:v>
                </c:pt>
                <c:pt idx="297" formatCode="#,##0">
                  <c:v>298804</c:v>
                </c:pt>
                <c:pt idx="298" formatCode="#,##0">
                  <c:v>398929</c:v>
                </c:pt>
                <c:pt idx="299" formatCode="#,##0">
                  <c:v>240566</c:v>
                </c:pt>
                <c:pt idx="300" formatCode="#,##0">
                  <c:v>259516</c:v>
                </c:pt>
                <c:pt idx="301" formatCode="#,##0">
                  <c:v>281092</c:v>
                </c:pt>
                <c:pt idx="302" formatCode="#,##0">
                  <c:v>271338</c:v>
                </c:pt>
                <c:pt idx="303" formatCode="#,##0">
                  <c:v>304547</c:v>
                </c:pt>
                <c:pt idx="304" formatCode="#,##0">
                  <c:v>329702</c:v>
                </c:pt>
                <c:pt idx="305" formatCode="#,##0">
                  <c:v>214845</c:v>
                </c:pt>
                <c:pt idx="306" formatCode="#,##0">
                  <c:v>257265</c:v>
                </c:pt>
                <c:pt idx="307" formatCode="#,##0">
                  <c:v>311838</c:v>
                </c:pt>
                <c:pt idx="308" formatCode="#,##0">
                  <c:v>222176</c:v>
                </c:pt>
                <c:pt idx="309" formatCode="#,##0">
                  <c:v>267108</c:v>
                </c:pt>
                <c:pt idx="310" formatCode="#,##0">
                  <c:v>231813</c:v>
                </c:pt>
                <c:pt idx="311" formatCode="#,##0">
                  <c:v>247056</c:v>
                </c:pt>
                <c:pt idx="312" formatCode="#,##0">
                  <c:v>267111</c:v>
                </c:pt>
                <c:pt idx="313" formatCode="#,##0">
                  <c:v>290873</c:v>
                </c:pt>
                <c:pt idx="314" formatCode="#,##0">
                  <c:v>312065</c:v>
                </c:pt>
                <c:pt idx="315" formatCode="#,##0">
                  <c:v>232553</c:v>
                </c:pt>
                <c:pt idx="316" formatCode="#,##0">
                  <c:v>159729</c:v>
                </c:pt>
                <c:pt idx="317" formatCode="#,##0">
                  <c:v>335958</c:v>
                </c:pt>
                <c:pt idx="318" formatCode="#,##0">
                  <c:v>335551</c:v>
                </c:pt>
                <c:pt idx="319" formatCode="#,##0">
                  <c:v>265967</c:v>
                </c:pt>
                <c:pt idx="320" formatCode="#,##0">
                  <c:v>269024</c:v>
                </c:pt>
                <c:pt idx="321" formatCode="#,##0">
                  <c:v>156499</c:v>
                </c:pt>
                <c:pt idx="322" formatCode="#,##0">
                  <c:v>304554</c:v>
                </c:pt>
                <c:pt idx="323" formatCode="#,##0">
                  <c:v>254646</c:v>
                </c:pt>
                <c:pt idx="324" formatCode="#,##0">
                  <c:v>349059</c:v>
                </c:pt>
                <c:pt idx="325" formatCode="#,##0">
                  <c:v>268431</c:v>
                </c:pt>
                <c:pt idx="326" formatCode="#,##0">
                  <c:v>285436</c:v>
                </c:pt>
                <c:pt idx="327" formatCode="#,##0">
                  <c:v>414017</c:v>
                </c:pt>
                <c:pt idx="328" formatCode="#,##0">
                  <c:v>267218</c:v>
                </c:pt>
                <c:pt idx="329" formatCode="#,##0">
                  <c:v>194491</c:v>
                </c:pt>
                <c:pt idx="330" formatCode="#,##0">
                  <c:v>291283</c:v>
                </c:pt>
                <c:pt idx="331" formatCode="#,##0">
                  <c:v>287354</c:v>
                </c:pt>
                <c:pt idx="332" formatCode="#,##0">
                  <c:v>277463</c:v>
                </c:pt>
                <c:pt idx="333" formatCode="#,##0">
                  <c:v>305079</c:v>
                </c:pt>
                <c:pt idx="334" formatCode="#,##0">
                  <c:v>304525</c:v>
                </c:pt>
                <c:pt idx="335" formatCode="#,##0">
                  <c:v>287393</c:v>
                </c:pt>
                <c:pt idx="336" formatCode="#,##0">
                  <c:v>244002</c:v>
                </c:pt>
                <c:pt idx="337" formatCode="#,##0">
                  <c:v>157228</c:v>
                </c:pt>
                <c:pt idx="338" formatCode="#,##0">
                  <c:v>187893</c:v>
                </c:pt>
                <c:pt idx="339" formatCode="#,##0">
                  <c:v>200891</c:v>
                </c:pt>
                <c:pt idx="340" formatCode="#,##0">
                  <c:v>239206</c:v>
                </c:pt>
                <c:pt idx="341" formatCode="#,##0">
                  <c:v>330444</c:v>
                </c:pt>
                <c:pt idx="342" formatCode="#,##0">
                  <c:v>344904</c:v>
                </c:pt>
                <c:pt idx="343" formatCode="#,##0">
                  <c:v>333884</c:v>
                </c:pt>
                <c:pt idx="344" formatCode="#,##0">
                  <c:v>247403</c:v>
                </c:pt>
                <c:pt idx="345" formatCode="#,##0">
                  <c:v>309854</c:v>
                </c:pt>
                <c:pt idx="346" formatCode="#,##0">
                  <c:v>277021</c:v>
                </c:pt>
                <c:pt idx="347" formatCode="#,##0">
                  <c:v>311235</c:v>
                </c:pt>
                <c:pt idx="348" formatCode="#,##0">
                  <c:v>287285</c:v>
                </c:pt>
                <c:pt idx="349" formatCode="#,##0">
                  <c:v>154029</c:v>
                </c:pt>
                <c:pt idx="350" formatCode="#,##0">
                  <c:v>258717</c:v>
                </c:pt>
                <c:pt idx="351" formatCode="#,##0">
                  <c:v>289502</c:v>
                </c:pt>
                <c:pt idx="352">
                  <c:v>238.12</c:v>
                </c:pt>
                <c:pt idx="353" formatCode="#,##0">
                  <c:v>319557</c:v>
                </c:pt>
                <c:pt idx="354" formatCode="#,##0">
                  <c:v>280882</c:v>
                </c:pt>
                <c:pt idx="355" formatCode="#,##0">
                  <c:v>273061</c:v>
                </c:pt>
                <c:pt idx="356" formatCode="#,##0">
                  <c:v>289987</c:v>
                </c:pt>
                <c:pt idx="357" formatCode="#,##0">
                  <c:v>296661</c:v>
                </c:pt>
                <c:pt idx="358" formatCode="#,##0">
                  <c:v>379963</c:v>
                </c:pt>
                <c:pt idx="359" formatCode="#,##0">
                  <c:v>214593</c:v>
                </c:pt>
                <c:pt idx="360" formatCode="#,##0">
                  <c:v>299949</c:v>
                </c:pt>
                <c:pt idx="361" formatCode="#,##0">
                  <c:v>251023</c:v>
                </c:pt>
                <c:pt idx="362" formatCode="#,##0">
                  <c:v>323007</c:v>
                </c:pt>
                <c:pt idx="363" formatCode="#,##0">
                  <c:v>334691</c:v>
                </c:pt>
                <c:pt idx="364" formatCode="#,##0">
                  <c:v>270546</c:v>
                </c:pt>
                <c:pt idx="365" formatCode="#,##0">
                  <c:v>220363</c:v>
                </c:pt>
                <c:pt idx="366" formatCode="#,##0">
                  <c:v>218416</c:v>
                </c:pt>
                <c:pt idx="367" formatCode="#,##0">
                  <c:v>200595</c:v>
                </c:pt>
                <c:pt idx="368" formatCode="#,##0">
                  <c:v>309267</c:v>
                </c:pt>
                <c:pt idx="369" formatCode="#,##0">
                  <c:v>293232</c:v>
                </c:pt>
                <c:pt idx="370">
                  <c:v>296.19</c:v>
                </c:pt>
                <c:pt idx="371" formatCode="#,##0">
                  <c:v>252957</c:v>
                </c:pt>
                <c:pt idx="372" formatCode="#,##0">
                  <c:v>207716</c:v>
                </c:pt>
                <c:pt idx="373">
                  <c:v>229.72</c:v>
                </c:pt>
                <c:pt idx="374">
                  <c:v>198.07</c:v>
                </c:pt>
                <c:pt idx="375" formatCode="#,##0">
                  <c:v>264648</c:v>
                </c:pt>
                <c:pt idx="376" formatCode="#,##0">
                  <c:v>171099</c:v>
                </c:pt>
                <c:pt idx="377" formatCode="#,##0">
                  <c:v>338434</c:v>
                </c:pt>
                <c:pt idx="378" formatCode="#,##0">
                  <c:v>419921</c:v>
                </c:pt>
                <c:pt idx="379" formatCode="#,##0">
                  <c:v>316712</c:v>
                </c:pt>
                <c:pt idx="380" formatCode="#,##0">
                  <c:v>355289</c:v>
                </c:pt>
                <c:pt idx="381">
                  <c:v>363.8</c:v>
                </c:pt>
                <c:pt idx="382">
                  <c:v>308.67</c:v>
                </c:pt>
                <c:pt idx="383" formatCode="#,##0">
                  <c:v>174199</c:v>
                </c:pt>
                <c:pt idx="384" formatCode="#,##0">
                  <c:v>182243</c:v>
                </c:pt>
                <c:pt idx="385" formatCode="#,##0">
                  <c:v>254476</c:v>
                </c:pt>
                <c:pt idx="386" formatCode="#,##0">
                  <c:v>162114</c:v>
                </c:pt>
                <c:pt idx="387" formatCode="#,##0">
                  <c:v>250601</c:v>
                </c:pt>
                <c:pt idx="388" formatCode="#,##0">
                  <c:v>192159</c:v>
                </c:pt>
                <c:pt idx="389" formatCode="#,##0">
                  <c:v>235518</c:v>
                </c:pt>
                <c:pt idx="390" formatCode="#,##0">
                  <c:v>272155</c:v>
                </c:pt>
                <c:pt idx="391" formatCode="#,##0">
                  <c:v>428678</c:v>
                </c:pt>
                <c:pt idx="392">
                  <c:v>284.37</c:v>
                </c:pt>
                <c:pt idx="393" formatCode="#,##0">
                  <c:v>279738</c:v>
                </c:pt>
                <c:pt idx="394">
                  <c:v>276.27999999999997</c:v>
                </c:pt>
                <c:pt idx="395" formatCode="#,##0">
                  <c:v>260635</c:v>
                </c:pt>
                <c:pt idx="396" formatCode="#,##0">
                  <c:v>263893</c:v>
                </c:pt>
                <c:pt idx="397" formatCode="#,##0">
                  <c:v>276071</c:v>
                </c:pt>
                <c:pt idx="398">
                  <c:v>272.97000000000003</c:v>
                </c:pt>
                <c:pt idx="399" formatCode="#,##0">
                  <c:v>291757</c:v>
                </c:pt>
                <c:pt idx="400" formatCode="#,##0">
                  <c:v>278738</c:v>
                </c:pt>
                <c:pt idx="401" formatCode="#,##0">
                  <c:v>247495</c:v>
                </c:pt>
                <c:pt idx="402" formatCode="#,##0">
                  <c:v>426878</c:v>
                </c:pt>
                <c:pt idx="403" formatCode="#,##0">
                  <c:v>330511</c:v>
                </c:pt>
                <c:pt idx="404" formatCode="#,##0">
                  <c:v>281443</c:v>
                </c:pt>
                <c:pt idx="405" formatCode="#,##0">
                  <c:v>436455</c:v>
                </c:pt>
                <c:pt idx="406" formatCode="#,##0">
                  <c:v>169303</c:v>
                </c:pt>
                <c:pt idx="407">
                  <c:v>267.44</c:v>
                </c:pt>
                <c:pt idx="408" formatCode="#,##0">
                  <c:v>471725</c:v>
                </c:pt>
                <c:pt idx="409" formatCode="#,##0">
                  <c:v>187839</c:v>
                </c:pt>
                <c:pt idx="410" formatCode="#,##0">
                  <c:v>287481</c:v>
                </c:pt>
                <c:pt idx="411" formatCode="#,##0">
                  <c:v>217683</c:v>
                </c:pt>
                <c:pt idx="412" formatCode="#,##0">
                  <c:v>331004</c:v>
                </c:pt>
                <c:pt idx="413" formatCode="#,##0">
                  <c:v>247988</c:v>
                </c:pt>
                <c:pt idx="414" formatCode="#,##0">
                  <c:v>330164</c:v>
                </c:pt>
                <c:pt idx="415" formatCode="#,##0">
                  <c:v>243605</c:v>
                </c:pt>
                <c:pt idx="416" formatCode="#,##0">
                  <c:v>231399</c:v>
                </c:pt>
                <c:pt idx="417" formatCode="#,##0">
                  <c:v>272874</c:v>
                </c:pt>
                <c:pt idx="418">
                  <c:v>319.64</c:v>
                </c:pt>
                <c:pt idx="419" formatCode="#,##0">
                  <c:v>367791</c:v>
                </c:pt>
                <c:pt idx="420" formatCode="#,##0">
                  <c:v>265632</c:v>
                </c:pt>
                <c:pt idx="421" formatCode="#,##0">
                  <c:v>177859</c:v>
                </c:pt>
                <c:pt idx="422" formatCode="#,##0">
                  <c:v>240082</c:v>
                </c:pt>
                <c:pt idx="423" formatCode="#,##0">
                  <c:v>246824</c:v>
                </c:pt>
                <c:pt idx="424" formatCode="#,##0">
                  <c:v>310488</c:v>
                </c:pt>
                <c:pt idx="425" formatCode="#,##0">
                  <c:v>322191</c:v>
                </c:pt>
                <c:pt idx="426" formatCode="#,##0">
                  <c:v>215445</c:v>
                </c:pt>
                <c:pt idx="427">
                  <c:v>265.24</c:v>
                </c:pt>
                <c:pt idx="428" formatCode="#,##0">
                  <c:v>227778</c:v>
                </c:pt>
                <c:pt idx="429">
                  <c:v>265.89999999999998</c:v>
                </c:pt>
                <c:pt idx="430" formatCode="#,##0">
                  <c:v>269182</c:v>
                </c:pt>
                <c:pt idx="431" formatCode="#,##0">
                  <c:v>228569</c:v>
                </c:pt>
                <c:pt idx="432" formatCode="#,##0">
                  <c:v>308147</c:v>
                </c:pt>
                <c:pt idx="433" formatCode="#,##0">
                  <c:v>365813</c:v>
                </c:pt>
                <c:pt idx="434" formatCode="#,##0">
                  <c:v>203751</c:v>
                </c:pt>
                <c:pt idx="435">
                  <c:v>292.85000000000002</c:v>
                </c:pt>
                <c:pt idx="436" formatCode="#,##0">
                  <c:v>167568</c:v>
                </c:pt>
                <c:pt idx="437" formatCode="#,##0">
                  <c:v>354977</c:v>
                </c:pt>
                <c:pt idx="438" formatCode="#,##0">
                  <c:v>369144</c:v>
                </c:pt>
                <c:pt idx="439" formatCode="#,##0">
                  <c:v>217077</c:v>
                </c:pt>
                <c:pt idx="440">
                  <c:v>221.35</c:v>
                </c:pt>
                <c:pt idx="441" formatCode="#,##0">
                  <c:v>326315</c:v>
                </c:pt>
                <c:pt idx="442" formatCode="#,##0">
                  <c:v>347114</c:v>
                </c:pt>
                <c:pt idx="443" formatCode="#,##0">
                  <c:v>223198</c:v>
                </c:pt>
                <c:pt idx="444" formatCode="#,##0">
                  <c:v>334395</c:v>
                </c:pt>
                <c:pt idx="445" formatCode="#,##0">
                  <c:v>258276</c:v>
                </c:pt>
                <c:pt idx="446" formatCode="#,##0">
                  <c:v>264092</c:v>
                </c:pt>
                <c:pt idx="447" formatCode="#,##0">
                  <c:v>225149</c:v>
                </c:pt>
                <c:pt idx="448" formatCode="#,##0">
                  <c:v>355825</c:v>
                </c:pt>
                <c:pt idx="449" formatCode="#,##0">
                  <c:v>202328</c:v>
                </c:pt>
                <c:pt idx="450" formatCode="#,##0">
                  <c:v>231653</c:v>
                </c:pt>
                <c:pt idx="451" formatCode="#,##0">
                  <c:v>251923</c:v>
                </c:pt>
                <c:pt idx="452" formatCode="#,##0">
                  <c:v>245929</c:v>
                </c:pt>
                <c:pt idx="453" formatCode="#,##0">
                  <c:v>245282</c:v>
                </c:pt>
                <c:pt idx="454" formatCode="#,##0">
                  <c:v>228811</c:v>
                </c:pt>
                <c:pt idx="455" formatCode="#,##0">
                  <c:v>206155</c:v>
                </c:pt>
                <c:pt idx="456" formatCode="#,##0">
                  <c:v>191852</c:v>
                </c:pt>
                <c:pt idx="457" formatCode="#,##0">
                  <c:v>157512</c:v>
                </c:pt>
                <c:pt idx="458" formatCode="#,##0">
                  <c:v>126298</c:v>
                </c:pt>
                <c:pt idx="459" formatCode="#,##0">
                  <c:v>335669</c:v>
                </c:pt>
                <c:pt idx="460" formatCode="#,##0">
                  <c:v>201131</c:v>
                </c:pt>
                <c:pt idx="461" formatCode="#,##0">
                  <c:v>251401</c:v>
                </c:pt>
                <c:pt idx="462" formatCode="#,##0">
                  <c:v>223858</c:v>
                </c:pt>
                <c:pt idx="463" formatCode="#,##0">
                  <c:v>367655</c:v>
                </c:pt>
                <c:pt idx="464" formatCode="#,##0">
                  <c:v>329076</c:v>
                </c:pt>
                <c:pt idx="465">
                  <c:v>241.66</c:v>
                </c:pt>
                <c:pt idx="466" formatCode="#,##0">
                  <c:v>166607</c:v>
                </c:pt>
                <c:pt idx="467" formatCode="#,##0">
                  <c:v>272667</c:v>
                </c:pt>
                <c:pt idx="468" formatCode="#,##0">
                  <c:v>273923</c:v>
                </c:pt>
                <c:pt idx="469" formatCode="#,##0">
                  <c:v>263157</c:v>
                </c:pt>
                <c:pt idx="470" formatCode="#,##0">
                  <c:v>327897</c:v>
                </c:pt>
                <c:pt idx="471" formatCode="#,##0">
                  <c:v>323036</c:v>
                </c:pt>
                <c:pt idx="472" formatCode="#,##0">
                  <c:v>386386</c:v>
                </c:pt>
                <c:pt idx="473" formatCode="#,##0">
                  <c:v>152189</c:v>
                </c:pt>
                <c:pt idx="474" formatCode="#,##0">
                  <c:v>232922</c:v>
                </c:pt>
                <c:pt idx="475" formatCode="#,##0">
                  <c:v>126271</c:v>
                </c:pt>
                <c:pt idx="476" formatCode="#,##0">
                  <c:v>296462</c:v>
                </c:pt>
                <c:pt idx="477" formatCode="#,##0">
                  <c:v>272203</c:v>
                </c:pt>
                <c:pt idx="478" formatCode="#,##0">
                  <c:v>237525</c:v>
                </c:pt>
                <c:pt idx="479" formatCode="#,##0">
                  <c:v>275676</c:v>
                </c:pt>
                <c:pt idx="480" formatCode="#,##0">
                  <c:v>218552</c:v>
                </c:pt>
                <c:pt idx="481" formatCode="#,##0">
                  <c:v>274725</c:v>
                </c:pt>
                <c:pt idx="482" formatCode="#,##0">
                  <c:v>238556</c:v>
                </c:pt>
                <c:pt idx="483" formatCode="#,##0">
                  <c:v>428115</c:v>
                </c:pt>
                <c:pt idx="484" formatCode="#,##0">
                  <c:v>340251</c:v>
                </c:pt>
                <c:pt idx="485" formatCode="#,##0">
                  <c:v>294003</c:v>
                </c:pt>
                <c:pt idx="486" formatCode="#,##0">
                  <c:v>394534</c:v>
                </c:pt>
                <c:pt idx="487" formatCode="#,##0">
                  <c:v>284226</c:v>
                </c:pt>
                <c:pt idx="488" formatCode="#,##0">
                  <c:v>251514</c:v>
                </c:pt>
                <c:pt idx="489" formatCode="#,##0">
                  <c:v>325846</c:v>
                </c:pt>
                <c:pt idx="490" formatCode="#,##0">
                  <c:v>402064</c:v>
                </c:pt>
                <c:pt idx="491" formatCode="#,##0">
                  <c:v>241359</c:v>
                </c:pt>
                <c:pt idx="492" formatCode="#,##0">
                  <c:v>273441</c:v>
                </c:pt>
                <c:pt idx="493" formatCode="#,##0">
                  <c:v>277039</c:v>
                </c:pt>
                <c:pt idx="494" formatCode="#,##0">
                  <c:v>327681</c:v>
                </c:pt>
                <c:pt idx="495" formatCode="#,##0">
                  <c:v>165403</c:v>
                </c:pt>
                <c:pt idx="496" formatCode="#,##0">
                  <c:v>242605</c:v>
                </c:pt>
                <c:pt idx="497" formatCode="#,##0">
                  <c:v>274427</c:v>
                </c:pt>
                <c:pt idx="498" formatCode="#,##0">
                  <c:v>381908</c:v>
                </c:pt>
                <c:pt idx="499" formatCode="#,##0">
                  <c:v>303807</c:v>
                </c:pt>
                <c:pt idx="500" formatCode="#,##0">
                  <c:v>324234</c:v>
                </c:pt>
                <c:pt idx="501">
                  <c:v>351.34</c:v>
                </c:pt>
                <c:pt idx="502" formatCode="#,##0">
                  <c:v>254632</c:v>
                </c:pt>
                <c:pt idx="503" formatCode="#,##0">
                  <c:v>278711</c:v>
                </c:pt>
                <c:pt idx="504" formatCode="#,##0">
                  <c:v>238883</c:v>
                </c:pt>
                <c:pt idx="505" formatCode="#,##0">
                  <c:v>330475</c:v>
                </c:pt>
                <c:pt idx="506" formatCode="#,##0">
                  <c:v>331532</c:v>
                </c:pt>
                <c:pt idx="507" formatCode="#,##0">
                  <c:v>249107</c:v>
                </c:pt>
                <c:pt idx="508">
                  <c:v>197.63</c:v>
                </c:pt>
                <c:pt idx="509" formatCode="#,##0">
                  <c:v>388234</c:v>
                </c:pt>
                <c:pt idx="510" formatCode="#,##0">
                  <c:v>277802</c:v>
                </c:pt>
                <c:pt idx="511" formatCode="#,##0">
                  <c:v>304386</c:v>
                </c:pt>
                <c:pt idx="512" formatCode="#,##0">
                  <c:v>258916</c:v>
                </c:pt>
                <c:pt idx="513" formatCode="#,##0">
                  <c:v>265604</c:v>
                </c:pt>
                <c:pt idx="514" formatCode="#,##0">
                  <c:v>338507</c:v>
                </c:pt>
                <c:pt idx="515" formatCode="#,##0">
                  <c:v>427527</c:v>
                </c:pt>
                <c:pt idx="516">
                  <c:v>291.5</c:v>
                </c:pt>
                <c:pt idx="517" formatCode="#,##0">
                  <c:v>397944</c:v>
                </c:pt>
                <c:pt idx="518" formatCode="#,##0">
                  <c:v>356334</c:v>
                </c:pt>
                <c:pt idx="519" formatCode="#,##0">
                  <c:v>255519</c:v>
                </c:pt>
                <c:pt idx="520" formatCode="#,##0">
                  <c:v>201129</c:v>
                </c:pt>
                <c:pt idx="521" formatCode="#,##0">
                  <c:v>212715</c:v>
                </c:pt>
                <c:pt idx="522" formatCode="#,##0">
                  <c:v>438184</c:v>
                </c:pt>
                <c:pt idx="523">
                  <c:v>347.26</c:v>
                </c:pt>
                <c:pt idx="524" formatCode="#,##0">
                  <c:v>264212</c:v>
                </c:pt>
                <c:pt idx="525" formatCode="#,##0">
                  <c:v>282825</c:v>
                </c:pt>
                <c:pt idx="526" formatCode="#,##0">
                  <c:v>220551</c:v>
                </c:pt>
                <c:pt idx="527" formatCode="#,##0">
                  <c:v>222576</c:v>
                </c:pt>
                <c:pt idx="528" formatCode="#,##0">
                  <c:v>367582</c:v>
                </c:pt>
                <c:pt idx="529" formatCode="#,##0">
                  <c:v>121073</c:v>
                </c:pt>
                <c:pt idx="530" formatCode="#,##0">
                  <c:v>156773</c:v>
                </c:pt>
                <c:pt idx="531" formatCode="#,##0">
                  <c:v>325568</c:v>
                </c:pt>
                <c:pt idx="532">
                  <c:v>338.29</c:v>
                </c:pt>
              </c:numCache>
            </c:numRef>
          </c:xVal>
          <c:yVal>
            <c:numRef>
              <c:f>' Stow 15-30Jun'!$D$2:$D$534</c:f>
              <c:numCache>
                <c:formatCode>#,##0</c:formatCode>
                <c:ptCount val="533"/>
                <c:pt idx="0">
                  <c:v>211245</c:v>
                </c:pt>
                <c:pt idx="1">
                  <c:v>211245</c:v>
                </c:pt>
                <c:pt idx="2" formatCode="General">
                  <c:v>1</c:v>
                </c:pt>
                <c:pt idx="3" formatCode="General">
                  <c:v>1</c:v>
                </c:pt>
                <c:pt idx="4" formatCode="General">
                  <c:v>0.84040404040404038</c:v>
                </c:pt>
                <c:pt idx="5" formatCode="General">
                  <c:v>0.81115879828326176</c:v>
                </c:pt>
                <c:pt idx="6" formatCode="General">
                  <c:v>0.75090252707581229</c:v>
                </c:pt>
                <c:pt idx="7" formatCode="General">
                  <c:v>0.7407407407407407</c:v>
                </c:pt>
                <c:pt idx="8" formatCode="General">
                  <c:v>0.7080394922425951</c:v>
                </c:pt>
                <c:pt idx="9" formatCode="General">
                  <c:v>0.67804878048780493</c:v>
                </c:pt>
                <c:pt idx="10" formatCode="General">
                  <c:v>0.65868263473053901</c:v>
                </c:pt>
                <c:pt idx="11" formatCode="General">
                  <c:v>0.65714285714285725</c:v>
                </c:pt>
                <c:pt idx="12" formatCode="General">
                  <c:v>0.64338235294117641</c:v>
                </c:pt>
                <c:pt idx="13" formatCode="General">
                  <c:v>0.62222222222222223</c:v>
                </c:pt>
                <c:pt idx="14" formatCode="General">
                  <c:v>0.62</c:v>
                </c:pt>
                <c:pt idx="15" formatCode="General">
                  <c:v>0.61627906976744196</c:v>
                </c:pt>
                <c:pt idx="16" formatCode="General">
                  <c:v>0.61147902869757176</c:v>
                </c:pt>
                <c:pt idx="17" formatCode="General">
                  <c:v>0.59574468085106391</c:v>
                </c:pt>
                <c:pt idx="18" formatCode="General">
                  <c:v>0.57516339869281041</c:v>
                </c:pt>
                <c:pt idx="19" formatCode="General">
                  <c:v>0.55670103092783507</c:v>
                </c:pt>
                <c:pt idx="20" formatCode="General">
                  <c:v>0.55493630573248398</c:v>
                </c:pt>
                <c:pt idx="21" formatCode="General">
                  <c:v>0.55384615384615377</c:v>
                </c:pt>
                <c:pt idx="22" formatCode="General">
                  <c:v>0.53164556962025311</c:v>
                </c:pt>
                <c:pt idx="23" formatCode="General">
                  <c:v>0.52534562211981561</c:v>
                </c:pt>
                <c:pt idx="24" formatCode="General">
                  <c:v>0.52112676056338025</c:v>
                </c:pt>
                <c:pt idx="25" formatCode="General">
                  <c:v>0.51142225497420779</c:v>
                </c:pt>
                <c:pt idx="26" formatCode="General">
                  <c:v>0.50887573964497035</c:v>
                </c:pt>
                <c:pt idx="27" formatCode="General">
                  <c:v>0.50318471337579618</c:v>
                </c:pt>
                <c:pt idx="28" formatCode="General">
                  <c:v>0.50199203187250996</c:v>
                </c:pt>
                <c:pt idx="29" formatCode="General">
                  <c:v>0.49352750809061491</c:v>
                </c:pt>
                <c:pt idx="30" formatCode="General">
                  <c:v>0.48936170212765961</c:v>
                </c:pt>
                <c:pt idx="31" formatCode="General">
                  <c:v>0.48766603415559773</c:v>
                </c:pt>
                <c:pt idx="32" formatCode="General">
                  <c:v>0.48730964467005072</c:v>
                </c:pt>
                <c:pt idx="33" formatCode="General">
                  <c:v>0.48685491723466406</c:v>
                </c:pt>
                <c:pt idx="34" formatCode="General">
                  <c:v>0.4865900383141763</c:v>
                </c:pt>
                <c:pt idx="35" formatCode="General">
                  <c:v>0.48634812286689416</c:v>
                </c:pt>
                <c:pt idx="36" formatCode="General">
                  <c:v>0.48283752860411894</c:v>
                </c:pt>
                <c:pt idx="37" formatCode="General">
                  <c:v>0.47769516728624534</c:v>
                </c:pt>
                <c:pt idx="38" formatCode="General">
                  <c:v>0.47252747252747257</c:v>
                </c:pt>
                <c:pt idx="39" formatCode="General">
                  <c:v>0.47115384615384615</c:v>
                </c:pt>
                <c:pt idx="40" formatCode="General">
                  <c:v>0.47</c:v>
                </c:pt>
                <c:pt idx="41" formatCode="General">
                  <c:v>0.4678899082568807</c:v>
                </c:pt>
                <c:pt idx="42" formatCode="General">
                  <c:v>0.46428571428571436</c:v>
                </c:pt>
                <c:pt idx="43" formatCode="General">
                  <c:v>0.46412556053811654</c:v>
                </c:pt>
                <c:pt idx="44" formatCode="General">
                  <c:v>0.46352583586626139</c:v>
                </c:pt>
                <c:pt idx="45" formatCode="General">
                  <c:v>0.46312684365781709</c:v>
                </c:pt>
                <c:pt idx="46" formatCode="General">
                  <c:v>0.45859872611464964</c:v>
                </c:pt>
                <c:pt idx="47" formatCode="General">
                  <c:v>0.4560570071258907</c:v>
                </c:pt>
                <c:pt idx="48" formatCode="General">
                  <c:v>0.45564516129032256</c:v>
                </c:pt>
                <c:pt idx="49" formatCode="General">
                  <c:v>0.45283018867924524</c:v>
                </c:pt>
                <c:pt idx="50" formatCode="General">
                  <c:v>0.44736842105263158</c:v>
                </c:pt>
                <c:pt idx="51" formatCode="General">
                  <c:v>0.44594594594594589</c:v>
                </c:pt>
                <c:pt idx="52" formatCode="General">
                  <c:v>0.44482758620689655</c:v>
                </c:pt>
                <c:pt idx="53" formatCode="General">
                  <c:v>0.44444444444444448</c:v>
                </c:pt>
                <c:pt idx="54" formatCode="General">
                  <c:v>0.44444444444444442</c:v>
                </c:pt>
                <c:pt idx="55" formatCode="General">
                  <c:v>0.44164037854889587</c:v>
                </c:pt>
                <c:pt idx="56" formatCode="General">
                  <c:v>0.44019138755980869</c:v>
                </c:pt>
                <c:pt idx="57" formatCode="General">
                  <c:v>0.44</c:v>
                </c:pt>
                <c:pt idx="58" formatCode="General">
                  <c:v>0.43852459016393447</c:v>
                </c:pt>
                <c:pt idx="59" formatCode="General">
                  <c:v>0.43544303797468353</c:v>
                </c:pt>
                <c:pt idx="60" formatCode="General">
                  <c:v>0.42477876106194695</c:v>
                </c:pt>
                <c:pt idx="61" formatCode="General">
                  <c:v>0.42168674698795178</c:v>
                </c:pt>
                <c:pt idx="62" formatCode="General">
                  <c:v>0.41785714285714287</c:v>
                </c:pt>
                <c:pt idx="63" formatCode="General">
                  <c:v>0.41717791411042948</c:v>
                </c:pt>
                <c:pt idx="64" formatCode="General">
                  <c:v>0.41343669250645998</c:v>
                </c:pt>
                <c:pt idx="65" formatCode="General">
                  <c:v>0.41242937853107342</c:v>
                </c:pt>
                <c:pt idx="66" formatCode="General">
                  <c:v>0.41176470588235298</c:v>
                </c:pt>
                <c:pt idx="67" formatCode="General">
                  <c:v>0.41035856573705182</c:v>
                </c:pt>
                <c:pt idx="68" formatCode="General">
                  <c:v>0.41017964071856294</c:v>
                </c:pt>
                <c:pt idx="69" formatCode="General">
                  <c:v>0.40718562874251502</c:v>
                </c:pt>
                <c:pt idx="70" formatCode="General">
                  <c:v>0.40697674418604651</c:v>
                </c:pt>
                <c:pt idx="71" formatCode="General">
                  <c:v>0.40657084188911702</c:v>
                </c:pt>
                <c:pt idx="72" formatCode="General">
                  <c:v>0.40310077519379844</c:v>
                </c:pt>
                <c:pt idx="73" formatCode="General">
                  <c:v>0.39999999999999997</c:v>
                </c:pt>
                <c:pt idx="74" formatCode="General">
                  <c:v>0.39786223277909738</c:v>
                </c:pt>
                <c:pt idx="75" formatCode="General">
                  <c:v>0.39732142857142855</c:v>
                </c:pt>
                <c:pt idx="76" formatCode="General">
                  <c:v>0.39699570815450647</c:v>
                </c:pt>
                <c:pt idx="77" formatCode="General">
                  <c:v>0.3968253968253968</c:v>
                </c:pt>
                <c:pt idx="78" formatCode="General">
                  <c:v>0.3966480446927374</c:v>
                </c:pt>
                <c:pt idx="79" formatCode="General">
                  <c:v>0.39622641509433959</c:v>
                </c:pt>
                <c:pt idx="80" formatCode="General">
                  <c:v>0.39542483660130717</c:v>
                </c:pt>
                <c:pt idx="81" formatCode="General">
                  <c:v>0.39303482587064681</c:v>
                </c:pt>
                <c:pt idx="82" formatCode="General">
                  <c:v>0.39086294416243655</c:v>
                </c:pt>
                <c:pt idx="83" formatCode="General">
                  <c:v>0.38986784140969161</c:v>
                </c:pt>
                <c:pt idx="84" formatCode="General">
                  <c:v>0.38805970149253732</c:v>
                </c:pt>
                <c:pt idx="85" formatCode="General">
                  <c:v>0.38562091503267976</c:v>
                </c:pt>
                <c:pt idx="86" formatCode="General">
                  <c:v>0.38552540013917885</c:v>
                </c:pt>
                <c:pt idx="87" formatCode="General">
                  <c:v>0.38423645320197047</c:v>
                </c:pt>
                <c:pt idx="88" formatCode="General">
                  <c:v>0.38263665594855306</c:v>
                </c:pt>
                <c:pt idx="89" formatCode="General">
                  <c:v>0.38157894736842102</c:v>
                </c:pt>
                <c:pt idx="90" formatCode="General">
                  <c:v>0.37914691943127965</c:v>
                </c:pt>
                <c:pt idx="91" formatCode="General">
                  <c:v>0.3781749764816556</c:v>
                </c:pt>
                <c:pt idx="92" formatCode="General">
                  <c:v>0.3779904306220096</c:v>
                </c:pt>
                <c:pt idx="93" formatCode="General">
                  <c:v>0.37327188940092171</c:v>
                </c:pt>
                <c:pt idx="94" formatCode="General">
                  <c:v>0.37298387096774194</c:v>
                </c:pt>
                <c:pt idx="95" formatCode="General">
                  <c:v>0.37083333333333335</c:v>
                </c:pt>
                <c:pt idx="96" formatCode="General">
                  <c:v>0.37047353760445684</c:v>
                </c:pt>
                <c:pt idx="97" formatCode="General">
                  <c:v>0.36986301369863017</c:v>
                </c:pt>
                <c:pt idx="98" formatCode="General">
                  <c:v>0.36748329621380843</c:v>
                </c:pt>
                <c:pt idx="99" formatCode="General">
                  <c:v>0.3656441717791411</c:v>
                </c:pt>
                <c:pt idx="100" formatCode="General">
                  <c:v>0.36507936507936506</c:v>
                </c:pt>
                <c:pt idx="101" formatCode="General">
                  <c:v>0.36480686695278969</c:v>
                </c:pt>
                <c:pt idx="102" formatCode="General">
                  <c:v>0.36111111111111116</c:v>
                </c:pt>
                <c:pt idx="103" formatCode="General">
                  <c:v>0.36031042128603108</c:v>
                </c:pt>
                <c:pt idx="104" formatCode="General">
                  <c:v>0.35983263598326359</c:v>
                </c:pt>
                <c:pt idx="105" formatCode="General">
                  <c:v>0.35727788279773154</c:v>
                </c:pt>
                <c:pt idx="106" formatCode="General">
                  <c:v>0.35483870967741937</c:v>
                </c:pt>
                <c:pt idx="107" formatCode="General">
                  <c:v>0.34666666666666668</c:v>
                </c:pt>
                <c:pt idx="108" formatCode="General">
                  <c:v>0.34567901234567905</c:v>
                </c:pt>
                <c:pt idx="109" formatCode="General">
                  <c:v>0.34519303557910669</c:v>
                </c:pt>
                <c:pt idx="110" formatCode="General">
                  <c:v>0.34375</c:v>
                </c:pt>
                <c:pt idx="111" formatCode="General">
                  <c:v>0.34177215189873417</c:v>
                </c:pt>
                <c:pt idx="112" formatCode="General">
                  <c:v>0.34113712374581939</c:v>
                </c:pt>
                <c:pt idx="113" formatCode="General">
                  <c:v>0.33673469387755106</c:v>
                </c:pt>
                <c:pt idx="114" formatCode="General">
                  <c:v>0.33670886075949369</c:v>
                </c:pt>
                <c:pt idx="115" formatCode="General">
                  <c:v>0.3353437876960193</c:v>
                </c:pt>
                <c:pt idx="116" formatCode="General">
                  <c:v>0.33474218089602703</c:v>
                </c:pt>
                <c:pt idx="117" formatCode="General">
                  <c:v>0.33423913043478265</c:v>
                </c:pt>
                <c:pt idx="118" formatCode="General">
                  <c:v>0.33333333333333337</c:v>
                </c:pt>
                <c:pt idx="119" formatCode="General">
                  <c:v>0.33333333333333331</c:v>
                </c:pt>
                <c:pt idx="120" formatCode="General">
                  <c:v>0.33231240428790199</c:v>
                </c:pt>
                <c:pt idx="121" formatCode="General">
                  <c:v>0.33204633204633205</c:v>
                </c:pt>
                <c:pt idx="122" formatCode="General">
                  <c:v>0.33116883116883111</c:v>
                </c:pt>
                <c:pt idx="123" formatCode="General">
                  <c:v>0.33053221288515405</c:v>
                </c:pt>
                <c:pt idx="124" formatCode="General">
                  <c:v>0.32835820895522388</c:v>
                </c:pt>
                <c:pt idx="125" formatCode="General">
                  <c:v>0.3282571912013536</c:v>
                </c:pt>
                <c:pt idx="126" formatCode="General">
                  <c:v>0.32615384615384618</c:v>
                </c:pt>
                <c:pt idx="127" formatCode="General">
                  <c:v>0.32577903682719545</c:v>
                </c:pt>
                <c:pt idx="128" formatCode="General">
                  <c:v>0.32558139534883718</c:v>
                </c:pt>
                <c:pt idx="129" formatCode="General">
                  <c:v>0.32467532467532467</c:v>
                </c:pt>
                <c:pt idx="130" formatCode="General">
                  <c:v>0.32284040995607616</c:v>
                </c:pt>
                <c:pt idx="131" formatCode="General">
                  <c:v>0.32051282051282048</c:v>
                </c:pt>
                <c:pt idx="132" formatCode="General">
                  <c:v>0.32038834951456313</c:v>
                </c:pt>
                <c:pt idx="133" formatCode="General">
                  <c:v>0.3202614379084967</c:v>
                </c:pt>
                <c:pt idx="134" formatCode="General">
                  <c:v>0.31967213114754101</c:v>
                </c:pt>
                <c:pt idx="135" formatCode="General">
                  <c:v>0.31874999999999998</c:v>
                </c:pt>
                <c:pt idx="136" formatCode="General">
                  <c:v>0.31818181818181823</c:v>
                </c:pt>
                <c:pt idx="137" formatCode="General">
                  <c:v>0.3174603174603175</c:v>
                </c:pt>
                <c:pt idx="138" formatCode="General">
                  <c:v>0.31541218637992835</c:v>
                </c:pt>
                <c:pt idx="139" formatCode="General">
                  <c:v>0.31496062992125984</c:v>
                </c:pt>
                <c:pt idx="140" formatCode="General">
                  <c:v>0.3129973474801061</c:v>
                </c:pt>
                <c:pt idx="141" formatCode="General">
                  <c:v>0.31266375545851532</c:v>
                </c:pt>
                <c:pt idx="142" formatCode="General">
                  <c:v>0.31253678634490878</c:v>
                </c:pt>
                <c:pt idx="143" formatCode="General">
                  <c:v>0.31153846153846154</c:v>
                </c:pt>
                <c:pt idx="144" formatCode="General">
                  <c:v>0.31070889894419301</c:v>
                </c:pt>
                <c:pt idx="145" formatCode="General">
                  <c:v>0.30810810810810807</c:v>
                </c:pt>
                <c:pt idx="146" formatCode="General">
                  <c:v>0.30687830687830686</c:v>
                </c:pt>
                <c:pt idx="147" formatCode="General">
                  <c:v>0.30573248407643311</c:v>
                </c:pt>
                <c:pt idx="148" formatCode="General">
                  <c:v>0.30535714285714288</c:v>
                </c:pt>
                <c:pt idx="149" formatCode="General">
                  <c:v>0.30493915533285609</c:v>
                </c:pt>
                <c:pt idx="150" formatCode="General">
                  <c:v>0.3048780487804878</c:v>
                </c:pt>
                <c:pt idx="151" formatCode="General">
                  <c:v>0.30441478439425051</c:v>
                </c:pt>
                <c:pt idx="152" formatCode="General">
                  <c:v>0.30428134556574921</c:v>
                </c:pt>
                <c:pt idx="153" formatCode="General">
                  <c:v>0.30389308541545612</c:v>
                </c:pt>
                <c:pt idx="154" formatCode="General">
                  <c:v>0.30232558139534887</c:v>
                </c:pt>
                <c:pt idx="155" formatCode="General">
                  <c:v>0.30217391304347824</c:v>
                </c:pt>
                <c:pt idx="156" formatCode="General">
                  <c:v>0.30182529335071706</c:v>
                </c:pt>
                <c:pt idx="157" formatCode="General">
                  <c:v>0.30154277699859749</c:v>
                </c:pt>
                <c:pt idx="158" formatCode="General">
                  <c:v>0.30063291139240506</c:v>
                </c:pt>
                <c:pt idx="159" formatCode="General">
                  <c:v>0.3</c:v>
                </c:pt>
                <c:pt idx="160" formatCode="General">
                  <c:v>0.29946524064171126</c:v>
                </c:pt>
                <c:pt idx="161" formatCode="General">
                  <c:v>0.29884225759768451</c:v>
                </c:pt>
                <c:pt idx="162" formatCode="General">
                  <c:v>0.29621848739495799</c:v>
                </c:pt>
                <c:pt idx="163" formatCode="General">
                  <c:v>0.29600000000000004</c:v>
                </c:pt>
                <c:pt idx="164" formatCode="General">
                  <c:v>0.29572649572649573</c:v>
                </c:pt>
                <c:pt idx="165" formatCode="General">
                  <c:v>0.29504504504504503</c:v>
                </c:pt>
                <c:pt idx="166" formatCode="General">
                  <c:v>0.29489291598023065</c:v>
                </c:pt>
                <c:pt idx="167" formatCode="General">
                  <c:v>0.29411764705882354</c:v>
                </c:pt>
                <c:pt idx="168" formatCode="General">
                  <c:v>0.29166666666666663</c:v>
                </c:pt>
                <c:pt idx="169" formatCode="General">
                  <c:v>0.29047619047619044</c:v>
                </c:pt>
                <c:pt idx="170" formatCode="General">
                  <c:v>0.29032258064516125</c:v>
                </c:pt>
                <c:pt idx="171" formatCode="General">
                  <c:v>0.28947368421052627</c:v>
                </c:pt>
                <c:pt idx="172" formatCode="General">
                  <c:v>0.28865979381443302</c:v>
                </c:pt>
                <c:pt idx="173" formatCode="General">
                  <c:v>0.28748280605226961</c:v>
                </c:pt>
                <c:pt idx="174" formatCode="General">
                  <c:v>0.287292817679558</c:v>
                </c:pt>
                <c:pt idx="175" formatCode="General">
                  <c:v>0.28703703703703703</c:v>
                </c:pt>
                <c:pt idx="176" formatCode="General">
                  <c:v>0.28688524590163933</c:v>
                </c:pt>
                <c:pt idx="177" formatCode="General">
                  <c:v>0.28658536585365851</c:v>
                </c:pt>
                <c:pt idx="178" formatCode="General">
                  <c:v>0.2857142857142857</c:v>
                </c:pt>
                <c:pt idx="179" formatCode="General">
                  <c:v>0.28537170263788969</c:v>
                </c:pt>
                <c:pt idx="180" formatCode="General">
                  <c:v>0.28535669586983725</c:v>
                </c:pt>
                <c:pt idx="181" formatCode="General">
                  <c:v>0.28510638297872343</c:v>
                </c:pt>
                <c:pt idx="182" formatCode="General">
                  <c:v>0.28360413589364847</c:v>
                </c:pt>
                <c:pt idx="183" formatCode="General">
                  <c:v>0.28330522765598654</c:v>
                </c:pt>
                <c:pt idx="184" formatCode="General">
                  <c:v>0.28222523744911804</c:v>
                </c:pt>
                <c:pt idx="185" formatCode="General">
                  <c:v>0.28205128205128205</c:v>
                </c:pt>
                <c:pt idx="186" formatCode="General">
                  <c:v>0.28154425612052736</c:v>
                </c:pt>
                <c:pt idx="187" formatCode="General">
                  <c:v>0.28099173553719009</c:v>
                </c:pt>
                <c:pt idx="188" formatCode="General">
                  <c:v>0.27954971857410882</c:v>
                </c:pt>
                <c:pt idx="189" formatCode="General">
                  <c:v>0.27897350993377484</c:v>
                </c:pt>
                <c:pt idx="190" formatCode="General">
                  <c:v>0.27554438860971525</c:v>
                </c:pt>
                <c:pt idx="191" formatCode="General">
                  <c:v>0.27536231884057971</c:v>
                </c:pt>
                <c:pt idx="192" formatCode="General">
                  <c:v>0.2752808988764045</c:v>
                </c:pt>
                <c:pt idx="193" formatCode="General">
                  <c:v>0.2749428789032749</c:v>
                </c:pt>
                <c:pt idx="194" formatCode="General">
                  <c:v>0.27456647398843931</c:v>
                </c:pt>
                <c:pt idx="195" formatCode="General">
                  <c:v>0.27448979591836731</c:v>
                </c:pt>
                <c:pt idx="196" formatCode="General">
                  <c:v>0.2742857142857143</c:v>
                </c:pt>
                <c:pt idx="197" formatCode="General">
                  <c:v>0.27426160337552741</c:v>
                </c:pt>
                <c:pt idx="198" formatCode="General">
                  <c:v>0.27296587926509186</c:v>
                </c:pt>
                <c:pt idx="199" formatCode="General">
                  <c:v>0.2729439809296782</c:v>
                </c:pt>
                <c:pt idx="200" formatCode="General">
                  <c:v>0.27266028002947679</c:v>
                </c:pt>
                <c:pt idx="201" formatCode="General">
                  <c:v>0.27211343686698175</c:v>
                </c:pt>
                <c:pt idx="202" formatCode="General">
                  <c:v>0.27187948350071739</c:v>
                </c:pt>
                <c:pt idx="203" formatCode="General">
                  <c:v>0.27086882453151617</c:v>
                </c:pt>
                <c:pt idx="204" formatCode="General">
                  <c:v>0.26987951807228916</c:v>
                </c:pt>
                <c:pt idx="205" formatCode="General">
                  <c:v>0.26973684210526316</c:v>
                </c:pt>
                <c:pt idx="206" formatCode="General">
                  <c:v>0.26956521739130435</c:v>
                </c:pt>
                <c:pt idx="207" formatCode="General">
                  <c:v>0.26923076923076927</c:v>
                </c:pt>
                <c:pt idx="208" formatCode="General">
                  <c:v>0.26865671641791045</c:v>
                </c:pt>
                <c:pt idx="209" formatCode="General">
                  <c:v>0.26840490797546013</c:v>
                </c:pt>
                <c:pt idx="210" formatCode="General">
                  <c:v>0.26791808873720135</c:v>
                </c:pt>
                <c:pt idx="211" formatCode="General">
                  <c:v>0.26744186046511625</c:v>
                </c:pt>
                <c:pt idx="212" formatCode="General">
                  <c:v>0.26652452025586354</c:v>
                </c:pt>
                <c:pt idx="213" formatCode="General">
                  <c:v>0.26642335766423353</c:v>
                </c:pt>
                <c:pt idx="214" formatCode="General">
                  <c:v>0.26492287055667341</c:v>
                </c:pt>
                <c:pt idx="215" formatCode="General">
                  <c:v>0.26426426426426425</c:v>
                </c:pt>
                <c:pt idx="216" formatCode="General">
                  <c:v>0.26380368098159512</c:v>
                </c:pt>
                <c:pt idx="217" formatCode="General">
                  <c:v>0.26322839919624919</c:v>
                </c:pt>
                <c:pt idx="218" formatCode="General">
                  <c:v>0.26315789473684209</c:v>
                </c:pt>
                <c:pt idx="219" formatCode="General">
                  <c:v>0.26315789473684209</c:v>
                </c:pt>
                <c:pt idx="220" formatCode="General">
                  <c:v>0.26315789473684209</c:v>
                </c:pt>
                <c:pt idx="221" formatCode="General">
                  <c:v>0.26266416510318946</c:v>
                </c:pt>
                <c:pt idx="222" formatCode="General">
                  <c:v>0.26185958254269448</c:v>
                </c:pt>
                <c:pt idx="223" formatCode="General">
                  <c:v>0.26135216952573159</c:v>
                </c:pt>
                <c:pt idx="224" formatCode="General">
                  <c:v>0.26111111111111113</c:v>
                </c:pt>
                <c:pt idx="225" formatCode="General">
                  <c:v>0.25964912280701752</c:v>
                </c:pt>
                <c:pt idx="226" formatCode="General">
                  <c:v>0.25878594249201281</c:v>
                </c:pt>
                <c:pt idx="227" formatCode="General">
                  <c:v>0.25853658536585372</c:v>
                </c:pt>
                <c:pt idx="228" formatCode="General">
                  <c:v>0.25719424460431656</c:v>
                </c:pt>
                <c:pt idx="229" formatCode="General">
                  <c:v>0.25698324022346369</c:v>
                </c:pt>
                <c:pt idx="230" formatCode="General">
                  <c:v>0.25659999999999999</c:v>
                </c:pt>
                <c:pt idx="231" formatCode="General">
                  <c:v>0.25659999999999999</c:v>
                </c:pt>
                <c:pt idx="232" formatCode="#.##0.0">
                  <c:v>1821.4521247212886</c:v>
                </c:pt>
                <c:pt idx="233" formatCode="General">
                  <c:v>0.25615314494074748</c:v>
                </c:pt>
                <c:pt idx="234" formatCode="General">
                  <c:v>0.25566343042071199</c:v>
                </c:pt>
                <c:pt idx="235" formatCode="General">
                  <c:v>0.2553763440860215</c:v>
                </c:pt>
                <c:pt idx="236" formatCode="General">
                  <c:v>0.25488530161427359</c:v>
                </c:pt>
                <c:pt idx="237" formatCode="General">
                  <c:v>0.25341614906832294</c:v>
                </c:pt>
                <c:pt idx="238" formatCode="General">
                  <c:v>0.25301204819277107</c:v>
                </c:pt>
                <c:pt idx="239" formatCode="General">
                  <c:v>0.25257731958762886</c:v>
                </c:pt>
                <c:pt idx="240" formatCode="General">
                  <c:v>0.25247524752475248</c:v>
                </c:pt>
                <c:pt idx="241" formatCode="General">
                  <c:v>0.25168236877523553</c:v>
                </c:pt>
                <c:pt idx="242" formatCode="General">
                  <c:v>0.25149700598802399</c:v>
                </c:pt>
                <c:pt idx="243" formatCode="General">
                  <c:v>0.25125628140703521</c:v>
                </c:pt>
                <c:pt idx="244" formatCode="General">
                  <c:v>0.25</c:v>
                </c:pt>
                <c:pt idx="245" formatCode="General">
                  <c:v>0.25</c:v>
                </c:pt>
                <c:pt idx="246" formatCode="General">
                  <c:v>0.25</c:v>
                </c:pt>
                <c:pt idx="247" formatCode="General">
                  <c:v>0.25</c:v>
                </c:pt>
                <c:pt idx="248" formatCode="General">
                  <c:v>0.24868189806678381</c:v>
                </c:pt>
                <c:pt idx="249" formatCode="General">
                  <c:v>0.24817518248175183</c:v>
                </c:pt>
                <c:pt idx="250" formatCode="General">
                  <c:v>0.2478920741989882</c:v>
                </c:pt>
                <c:pt idx="251" formatCode="General">
                  <c:v>0.24758842443729906</c:v>
                </c:pt>
                <c:pt idx="252" formatCode="General">
                  <c:v>0.24551282051282053</c:v>
                </c:pt>
                <c:pt idx="253" formatCode="General">
                  <c:v>0.24505928853754941</c:v>
                </c:pt>
                <c:pt idx="254" formatCode="General">
                  <c:v>0.24479889042995837</c:v>
                </c:pt>
                <c:pt idx="255" formatCode="General">
                  <c:v>0.2445141065830721</c:v>
                </c:pt>
                <c:pt idx="256" formatCode="General">
                  <c:v>0.24448897795591182</c:v>
                </c:pt>
                <c:pt idx="257" formatCode="General">
                  <c:v>0.24444444444444444</c:v>
                </c:pt>
                <c:pt idx="258" formatCode="General">
                  <c:v>0.24341412012644889</c:v>
                </c:pt>
                <c:pt idx="259" formatCode="General">
                  <c:v>0.24320987654320989</c:v>
                </c:pt>
                <c:pt idx="260" formatCode="General">
                  <c:v>0.24260355029585798</c:v>
                </c:pt>
                <c:pt idx="261" formatCode="General">
                  <c:v>0.24258289703315877</c:v>
                </c:pt>
                <c:pt idx="262" formatCode="General">
                  <c:v>0.24223946784922396</c:v>
                </c:pt>
                <c:pt idx="263" formatCode="General">
                  <c:v>0.24186046511627909</c:v>
                </c:pt>
                <c:pt idx="264" formatCode="General">
                  <c:v>0.24095458044649729</c:v>
                </c:pt>
                <c:pt idx="265" formatCode="General">
                  <c:v>0.24064171122994651</c:v>
                </c:pt>
                <c:pt idx="266" formatCode="General">
                  <c:v>0.24</c:v>
                </c:pt>
                <c:pt idx="267" formatCode="General">
                  <c:v>0.23970290344361916</c:v>
                </c:pt>
                <c:pt idx="268" formatCode="General">
                  <c:v>0.23852183650615902</c:v>
                </c:pt>
                <c:pt idx="269" formatCode="General">
                  <c:v>0.23529411764705885</c:v>
                </c:pt>
                <c:pt idx="270" formatCode="General">
                  <c:v>0.23518518518518516</c:v>
                </c:pt>
                <c:pt idx="271" formatCode="General">
                  <c:v>0.23513658275307978</c:v>
                </c:pt>
                <c:pt idx="272" formatCode="General">
                  <c:v>0.23474178403755869</c:v>
                </c:pt>
                <c:pt idx="273" formatCode="General">
                  <c:v>0.23364485981308411</c:v>
                </c:pt>
                <c:pt idx="274" formatCode="General">
                  <c:v>0.2332155477031802</c:v>
                </c:pt>
                <c:pt idx="275" formatCode="General">
                  <c:v>0.23308270676691728</c:v>
                </c:pt>
                <c:pt idx="276" formatCode="General">
                  <c:v>0.23275862068965519</c:v>
                </c:pt>
                <c:pt idx="277" formatCode="General">
                  <c:v>0.23208722741433022</c:v>
                </c:pt>
                <c:pt idx="278" formatCode="General">
                  <c:v>0.22957198443579765</c:v>
                </c:pt>
                <c:pt idx="279" formatCode="General">
                  <c:v>0.22826086956521741</c:v>
                </c:pt>
                <c:pt idx="280" formatCode="General">
                  <c:v>0.22784810126582278</c:v>
                </c:pt>
                <c:pt idx="281" formatCode="General">
                  <c:v>0.22717770034843204</c:v>
                </c:pt>
                <c:pt idx="282" formatCode="General">
                  <c:v>0.22619047619047619</c:v>
                </c:pt>
                <c:pt idx="283" formatCode="General">
                  <c:v>0.22600408441116404</c:v>
                </c:pt>
                <c:pt idx="284" formatCode="General">
                  <c:v>0.22510822510822512</c:v>
                </c:pt>
                <c:pt idx="285" formatCode="General">
                  <c:v>0.22406639004149378</c:v>
                </c:pt>
                <c:pt idx="286" formatCode="General">
                  <c:v>0.22376237623762377</c:v>
                </c:pt>
                <c:pt idx="287" formatCode="General">
                  <c:v>0.22347826086956521</c:v>
                </c:pt>
                <c:pt idx="288" formatCode="General">
                  <c:v>0.22222222222222224</c:v>
                </c:pt>
                <c:pt idx="289" formatCode="General">
                  <c:v>0.22202486678507993</c:v>
                </c:pt>
                <c:pt idx="290" formatCode="General">
                  <c:v>0.22159090909090906</c:v>
                </c:pt>
                <c:pt idx="291" formatCode="General">
                  <c:v>0.22043010752688169</c:v>
                </c:pt>
                <c:pt idx="292" formatCode="General">
                  <c:v>0.22</c:v>
                </c:pt>
                <c:pt idx="293" formatCode="General">
                  <c:v>0.21861777150916786</c:v>
                </c:pt>
                <c:pt idx="294" formatCode="General">
                  <c:v>0.21775147928994085</c:v>
                </c:pt>
                <c:pt idx="295" formatCode="General">
                  <c:v>0.21649484536082475</c:v>
                </c:pt>
                <c:pt idx="296" formatCode="General">
                  <c:v>0.21641791044776115</c:v>
                </c:pt>
                <c:pt idx="297" formatCode="General">
                  <c:v>0.21639344262295082</c:v>
                </c:pt>
                <c:pt idx="298" formatCode="General">
                  <c:v>0.21632653061224488</c:v>
                </c:pt>
                <c:pt idx="299" formatCode="General">
                  <c:v>0.21499013806706116</c:v>
                </c:pt>
                <c:pt idx="300" formatCode="General">
                  <c:v>0.2137404580152672</c:v>
                </c:pt>
                <c:pt idx="301" formatCode="General">
                  <c:v>0.21306376360808713</c:v>
                </c:pt>
                <c:pt idx="302" formatCode="General">
                  <c:v>0.21276595744680854</c:v>
                </c:pt>
                <c:pt idx="303" formatCode="General">
                  <c:v>0.21241379310344827</c:v>
                </c:pt>
                <c:pt idx="304" formatCode="General">
                  <c:v>0.21223021582733814</c:v>
                </c:pt>
                <c:pt idx="305" formatCode="General">
                  <c:v>0.21171171171171169</c:v>
                </c:pt>
                <c:pt idx="306" formatCode="General">
                  <c:v>0.21047227926078027</c:v>
                </c:pt>
                <c:pt idx="307" formatCode="General">
                  <c:v>0.21040189125295505</c:v>
                </c:pt>
                <c:pt idx="308" formatCode="General">
                  <c:v>0.20967741935483872</c:v>
                </c:pt>
                <c:pt idx="309" formatCode="General">
                  <c:v>0.20936639118457301</c:v>
                </c:pt>
                <c:pt idx="310" formatCode="General">
                  <c:v>0.20907297830374752</c:v>
                </c:pt>
                <c:pt idx="311" formatCode="General">
                  <c:v>0.20890099909173476</c:v>
                </c:pt>
                <c:pt idx="312" formatCode="General">
                  <c:v>0.20836891545687444</c:v>
                </c:pt>
                <c:pt idx="313" formatCode="General">
                  <c:v>0.2080637132901941</c:v>
                </c:pt>
                <c:pt idx="314" formatCode="General">
                  <c:v>0.2077087794432548</c:v>
                </c:pt>
                <c:pt idx="315" formatCode="General">
                  <c:v>0.2076502732240437</c:v>
                </c:pt>
                <c:pt idx="316" formatCode="General">
                  <c:v>0.20567375886524822</c:v>
                </c:pt>
                <c:pt idx="317" formatCode="General">
                  <c:v>0.20535714285714285</c:v>
                </c:pt>
                <c:pt idx="318" formatCode="General">
                  <c:v>0.20529801324503311</c:v>
                </c:pt>
                <c:pt idx="319" formatCode="General">
                  <c:v>0.20512820512820512</c:v>
                </c:pt>
                <c:pt idx="320" formatCode="General">
                  <c:v>0.20431034482758623</c:v>
                </c:pt>
                <c:pt idx="321" formatCode="General">
                  <c:v>0.20408163265306123</c:v>
                </c:pt>
                <c:pt idx="322" formatCode="General">
                  <c:v>0.20319999999999999</c:v>
                </c:pt>
                <c:pt idx="323" formatCode="General">
                  <c:v>0.20224719101123595</c:v>
                </c:pt>
                <c:pt idx="324" formatCode="General">
                  <c:v>0.20189274447949529</c:v>
                </c:pt>
                <c:pt idx="325" formatCode="General">
                  <c:v>0.20115774240231546</c:v>
                </c:pt>
                <c:pt idx="326" formatCode="General">
                  <c:v>0.20093770931011387</c:v>
                </c:pt>
                <c:pt idx="327" formatCode="General">
                  <c:v>0.200354609929078</c:v>
                </c:pt>
                <c:pt idx="328" formatCode="General">
                  <c:v>0.20000000000000004</c:v>
                </c:pt>
                <c:pt idx="329" formatCode="General">
                  <c:v>0.2</c:v>
                </c:pt>
                <c:pt idx="330" formatCode="General">
                  <c:v>0.19968051118210864</c:v>
                </c:pt>
                <c:pt idx="331" formatCode="General">
                  <c:v>0.19918283963227784</c:v>
                </c:pt>
                <c:pt idx="332" formatCode="General">
                  <c:v>0.19917012448132779</c:v>
                </c:pt>
                <c:pt idx="333" formatCode="General">
                  <c:v>0.19910514541387025</c:v>
                </c:pt>
                <c:pt idx="334" formatCode="General">
                  <c:v>0.19886363636363635</c:v>
                </c:pt>
                <c:pt idx="335" formatCode="General">
                  <c:v>0.19857235561323816</c:v>
                </c:pt>
                <c:pt idx="336" formatCode="General">
                  <c:v>0.19718309859154928</c:v>
                </c:pt>
                <c:pt idx="337" formatCode="General">
                  <c:v>0.19678714859437749</c:v>
                </c:pt>
                <c:pt idx="338" formatCode="General">
                  <c:v>0.19642857142857145</c:v>
                </c:pt>
                <c:pt idx="339" formatCode="General">
                  <c:v>0.19642857142857142</c:v>
                </c:pt>
                <c:pt idx="340" formatCode="General">
                  <c:v>0.19592298980747452</c:v>
                </c:pt>
                <c:pt idx="341" formatCode="General">
                  <c:v>0.19578686493184635</c:v>
                </c:pt>
                <c:pt idx="342" formatCode="General">
                  <c:v>0.19554455445544555</c:v>
                </c:pt>
                <c:pt idx="343" formatCode="General">
                  <c:v>0.19526627218934911</c:v>
                </c:pt>
                <c:pt idx="344" formatCode="General">
                  <c:v>0.19522326064382137</c:v>
                </c:pt>
                <c:pt idx="345" formatCode="General">
                  <c:v>0.19521912350597612</c:v>
                </c:pt>
                <c:pt idx="346" formatCode="General">
                  <c:v>0.19506597819850832</c:v>
                </c:pt>
                <c:pt idx="347" formatCode="General">
                  <c:v>0.19502407704654895</c:v>
                </c:pt>
                <c:pt idx="348" formatCode="General">
                  <c:v>0.19491525423728814</c:v>
                </c:pt>
                <c:pt idx="349" formatCode="General">
                  <c:v>0.19393939393939397</c:v>
                </c:pt>
                <c:pt idx="350" formatCode="General">
                  <c:v>0.19383521043272078</c:v>
                </c:pt>
                <c:pt idx="351" formatCode="General">
                  <c:v>0.19327731092436976</c:v>
                </c:pt>
                <c:pt idx="352" formatCode="General">
                  <c:v>0.19317356572258534</c:v>
                </c:pt>
                <c:pt idx="353" formatCode="General">
                  <c:v>0.19298245614035089</c:v>
                </c:pt>
                <c:pt idx="354" formatCode="General">
                  <c:v>0.19288256227758005</c:v>
                </c:pt>
                <c:pt idx="355" formatCode="General">
                  <c:v>0.19285714285714289</c:v>
                </c:pt>
                <c:pt idx="356" formatCode="General">
                  <c:v>0.19285714285714289</c:v>
                </c:pt>
                <c:pt idx="357" formatCode="General">
                  <c:v>0.19277108433734938</c:v>
                </c:pt>
                <c:pt idx="358" formatCode="General">
                  <c:v>0.19219653179190752</c:v>
                </c:pt>
                <c:pt idx="359" formatCode="General">
                  <c:v>0.19205298013245031</c:v>
                </c:pt>
                <c:pt idx="360" formatCode="General">
                  <c:v>0.19152542372881354</c:v>
                </c:pt>
                <c:pt idx="361" formatCode="General">
                  <c:v>0.19103773584905662</c:v>
                </c:pt>
                <c:pt idx="362" formatCode="General">
                  <c:v>0.1908665105386417</c:v>
                </c:pt>
                <c:pt idx="363" formatCode="General">
                  <c:v>0.19047619047619049</c:v>
                </c:pt>
                <c:pt idx="364" formatCode="General">
                  <c:v>0.19043887147335425</c:v>
                </c:pt>
                <c:pt idx="365" formatCode="General">
                  <c:v>0.19020501138952164</c:v>
                </c:pt>
                <c:pt idx="366" formatCode="General">
                  <c:v>0.19002822201317027</c:v>
                </c:pt>
                <c:pt idx="367" formatCode="General">
                  <c:v>0.189556135770235</c:v>
                </c:pt>
                <c:pt idx="368" formatCode="General">
                  <c:v>0.18852459016393444</c:v>
                </c:pt>
                <c:pt idx="369" formatCode="General">
                  <c:v>0.18822674418604651</c:v>
                </c:pt>
                <c:pt idx="370" formatCode="General">
                  <c:v>0.1879815100154083</c:v>
                </c:pt>
                <c:pt idx="371" formatCode="General">
                  <c:v>0.18757921419518378</c:v>
                </c:pt>
                <c:pt idx="372" formatCode="General">
                  <c:v>0.18750000000000003</c:v>
                </c:pt>
                <c:pt idx="373" formatCode="General">
                  <c:v>0.18749999999999997</c:v>
                </c:pt>
                <c:pt idx="374" formatCode="General">
                  <c:v>0.18699186991869921</c:v>
                </c:pt>
                <c:pt idx="375" formatCode="General">
                  <c:v>0.18695652173913044</c:v>
                </c:pt>
                <c:pt idx="376" formatCode="General">
                  <c:v>0.18666666666666668</c:v>
                </c:pt>
                <c:pt idx="377" formatCode="General">
                  <c:v>0.18657298985167839</c:v>
                </c:pt>
                <c:pt idx="378" formatCode="General">
                  <c:v>0.18386491557223264</c:v>
                </c:pt>
                <c:pt idx="379" formatCode="General">
                  <c:v>0.18384766907419564</c:v>
                </c:pt>
                <c:pt idx="380" formatCode="General">
                  <c:v>0.18337408312958436</c:v>
                </c:pt>
                <c:pt idx="381" formatCode="General">
                  <c:v>0.18297101449275363</c:v>
                </c:pt>
                <c:pt idx="382" formatCode="General">
                  <c:v>0.18202764976958527</c:v>
                </c:pt>
                <c:pt idx="383" formatCode="General">
                  <c:v>0.1818181818181818</c:v>
                </c:pt>
                <c:pt idx="384" formatCode="General">
                  <c:v>0.1818181818181818</c:v>
                </c:pt>
                <c:pt idx="385" formatCode="General">
                  <c:v>0.18159408381265407</c:v>
                </c:pt>
                <c:pt idx="386" formatCode="General">
                  <c:v>0.18120805369127518</c:v>
                </c:pt>
                <c:pt idx="387" formatCode="General">
                  <c:v>0.18120805369127518</c:v>
                </c:pt>
                <c:pt idx="388" formatCode="General">
                  <c:v>0.18097281831187409</c:v>
                </c:pt>
                <c:pt idx="389" formatCode="General">
                  <c:v>0.18015824710894704</c:v>
                </c:pt>
                <c:pt idx="390" formatCode="General">
                  <c:v>0.18</c:v>
                </c:pt>
                <c:pt idx="391" formatCode="General">
                  <c:v>0.17955801104972377</c:v>
                </c:pt>
                <c:pt idx="392" formatCode="General">
                  <c:v>0.17871485943775098</c:v>
                </c:pt>
                <c:pt idx="393" formatCode="General">
                  <c:v>0.17786308381317975</c:v>
                </c:pt>
                <c:pt idx="394" formatCode="General">
                  <c:v>0.17777777777777778</c:v>
                </c:pt>
                <c:pt idx="395" formatCode="General">
                  <c:v>0.1777509068923821</c:v>
                </c:pt>
                <c:pt idx="396" formatCode="General">
                  <c:v>0.17615658362989323</c:v>
                </c:pt>
                <c:pt idx="397" formatCode="General">
                  <c:v>0.17557251908396945</c:v>
                </c:pt>
                <c:pt idx="398" formatCode="General">
                  <c:v>0.17520215633423181</c:v>
                </c:pt>
                <c:pt idx="399" formatCode="General">
                  <c:v>0.17493472584856398</c:v>
                </c:pt>
                <c:pt idx="400" formatCode="General">
                  <c:v>0.17492163009404391</c:v>
                </c:pt>
                <c:pt idx="401" formatCode="General">
                  <c:v>0.17334494773519163</c:v>
                </c:pt>
                <c:pt idx="402" formatCode="General">
                  <c:v>0.17216981132075471</c:v>
                </c:pt>
                <c:pt idx="403" formatCode="General">
                  <c:v>0.17200674536256325</c:v>
                </c:pt>
                <c:pt idx="404" formatCode="General">
                  <c:v>0.17131979695431473</c:v>
                </c:pt>
                <c:pt idx="405" formatCode="General">
                  <c:v>0.17009602194787379</c:v>
                </c:pt>
                <c:pt idx="406" formatCode="General">
                  <c:v>0.16981132075471697</c:v>
                </c:pt>
                <c:pt idx="407" formatCode="General">
                  <c:v>0.16935483870967741</c:v>
                </c:pt>
                <c:pt idx="408" formatCode="General">
                  <c:v>0.16923076923076924</c:v>
                </c:pt>
                <c:pt idx="409" formatCode="General">
                  <c:v>0.16867469879518074</c:v>
                </c:pt>
                <c:pt idx="410" formatCode="General">
                  <c:v>0.16856492027334852</c:v>
                </c:pt>
                <c:pt idx="411" formatCode="General">
                  <c:v>0.16677874915938132</c:v>
                </c:pt>
                <c:pt idx="412" formatCode="General">
                  <c:v>0.16666666666666669</c:v>
                </c:pt>
                <c:pt idx="413" formatCode="General">
                  <c:v>0.16666666666666669</c:v>
                </c:pt>
                <c:pt idx="414" formatCode="General">
                  <c:v>0.16594827586206898</c:v>
                </c:pt>
                <c:pt idx="415" formatCode="General">
                  <c:v>0.16190476190476191</c:v>
                </c:pt>
                <c:pt idx="416" formatCode="General">
                  <c:v>0.16122004357298478</c:v>
                </c:pt>
                <c:pt idx="417" formatCode="General">
                  <c:v>0.1607142857142857</c:v>
                </c:pt>
                <c:pt idx="418" formatCode="General">
                  <c:v>0.16016427104722794</c:v>
                </c:pt>
                <c:pt idx="419" formatCode="General">
                  <c:v>0.15970149253731344</c:v>
                </c:pt>
                <c:pt idx="420" formatCode="General">
                  <c:v>0.15960099750623444</c:v>
                </c:pt>
                <c:pt idx="421" formatCode="General">
                  <c:v>0.15770609318996415</c:v>
                </c:pt>
                <c:pt idx="422" formatCode="General">
                  <c:v>0.15722120658135283</c:v>
                </c:pt>
                <c:pt idx="423" formatCode="General">
                  <c:v>0.15674362089914945</c:v>
                </c:pt>
                <c:pt idx="424" formatCode="General">
                  <c:v>0.15567282321899736</c:v>
                </c:pt>
                <c:pt idx="425" formatCode="General">
                  <c:v>0.15483119906868453</c:v>
                </c:pt>
                <c:pt idx="426" formatCode="General">
                  <c:v>0.15419947506561679</c:v>
                </c:pt>
                <c:pt idx="427" formatCode="General">
                  <c:v>0.15398886827458255</c:v>
                </c:pt>
                <c:pt idx="428" formatCode="General">
                  <c:v>0.15384615384615385</c:v>
                </c:pt>
                <c:pt idx="429" formatCode="General">
                  <c:v>0.15361890694239291</c:v>
                </c:pt>
                <c:pt idx="430" formatCode="General">
                  <c:v>0.15256124721603564</c:v>
                </c:pt>
                <c:pt idx="431" formatCode="General">
                  <c:v>0.15184563758389263</c:v>
                </c:pt>
                <c:pt idx="432" formatCode="General">
                  <c:v>0.15137614678899083</c:v>
                </c:pt>
                <c:pt idx="433" formatCode="General">
                  <c:v>0.15079365079365079</c:v>
                </c:pt>
                <c:pt idx="434" formatCode="General">
                  <c:v>0.15053763440860216</c:v>
                </c:pt>
                <c:pt idx="435" formatCode="General">
                  <c:v>0.14992503748125938</c:v>
                </c:pt>
                <c:pt idx="436" formatCode="General">
                  <c:v>0.14814814814814814</c:v>
                </c:pt>
                <c:pt idx="437" formatCode="General">
                  <c:v>0.1461864406779661</c:v>
                </c:pt>
                <c:pt idx="438" formatCode="General">
                  <c:v>0.145985401459854</c:v>
                </c:pt>
                <c:pt idx="439" formatCode="General">
                  <c:v>0.14545454545454545</c:v>
                </c:pt>
                <c:pt idx="440" formatCode="General">
                  <c:v>0.14457831325301207</c:v>
                </c:pt>
                <c:pt idx="441" formatCode="General">
                  <c:v>0.14413075780089152</c:v>
                </c:pt>
                <c:pt idx="442" formatCode="General">
                  <c:v>0.14384748700173311</c:v>
                </c:pt>
                <c:pt idx="443" formatCode="General">
                  <c:v>0.14382022471910111</c:v>
                </c:pt>
                <c:pt idx="444" formatCode="General">
                  <c:v>0.14365671641791045</c:v>
                </c:pt>
                <c:pt idx="445" formatCode="General">
                  <c:v>0.14247491638795987</c:v>
                </c:pt>
                <c:pt idx="446" formatCode="General">
                  <c:v>0.14143094841930118</c:v>
                </c:pt>
                <c:pt idx="447" formatCode="General">
                  <c:v>0.14119922630560927</c:v>
                </c:pt>
                <c:pt idx="448" formatCode="General">
                  <c:v>0.1407811080835604</c:v>
                </c:pt>
                <c:pt idx="449" formatCode="General">
                  <c:v>0.1371308016877637</c:v>
                </c:pt>
                <c:pt idx="450" formatCode="General">
                  <c:v>0.13703443429374559</c:v>
                </c:pt>
                <c:pt idx="451" formatCode="General">
                  <c:v>0.13636363636363635</c:v>
                </c:pt>
                <c:pt idx="452" formatCode="General">
                  <c:v>0.13501291989664083</c:v>
                </c:pt>
                <c:pt idx="453" formatCode="General">
                  <c:v>0.1346613545816733</c:v>
                </c:pt>
                <c:pt idx="454" formatCode="General">
                  <c:v>0.13043478260869565</c:v>
                </c:pt>
                <c:pt idx="455" formatCode="General">
                  <c:v>0.13033359193173003</c:v>
                </c:pt>
                <c:pt idx="456" formatCode="General">
                  <c:v>0.12962962962962962</c:v>
                </c:pt>
                <c:pt idx="457" formatCode="General">
                  <c:v>0.12857142857142859</c:v>
                </c:pt>
                <c:pt idx="458" formatCode="General">
                  <c:v>0.12857142857142859</c:v>
                </c:pt>
                <c:pt idx="459" formatCode="General">
                  <c:v>0.12776176753121998</c:v>
                </c:pt>
                <c:pt idx="460" formatCode="General">
                  <c:v>0.12727272727272726</c:v>
                </c:pt>
                <c:pt idx="461" formatCode="General">
                  <c:v>0.12672176308539942</c:v>
                </c:pt>
                <c:pt idx="462" formatCode="General">
                  <c:v>0.125</c:v>
                </c:pt>
                <c:pt idx="463" formatCode="General">
                  <c:v>0.12483221476510067</c:v>
                </c:pt>
                <c:pt idx="464" formatCode="General">
                  <c:v>0.12406015037593984</c:v>
                </c:pt>
                <c:pt idx="465" formatCode="General">
                  <c:v>0.12252663622526637</c:v>
                </c:pt>
                <c:pt idx="466" formatCode="General">
                  <c:v>0.12195121951219513</c:v>
                </c:pt>
                <c:pt idx="467" formatCode="General">
                  <c:v>0.12143611404435056</c:v>
                </c:pt>
                <c:pt idx="468" formatCode="General">
                  <c:v>0.11995249406175772</c:v>
                </c:pt>
                <c:pt idx="469" formatCode="General">
                  <c:v>0.11748251748251748</c:v>
                </c:pt>
                <c:pt idx="470" formatCode="General">
                  <c:v>0.11735769501054111</c:v>
                </c:pt>
                <c:pt idx="471" formatCode="General">
                  <c:v>0.11643835616438357</c:v>
                </c:pt>
                <c:pt idx="472" formatCode="General">
                  <c:v>0.11634349030470914</c:v>
                </c:pt>
                <c:pt idx="473" formatCode="General">
                  <c:v>0.11578947368421053</c:v>
                </c:pt>
                <c:pt idx="474" formatCode="General">
                  <c:v>0.11333333333333334</c:v>
                </c:pt>
                <c:pt idx="475" formatCode="General">
                  <c:v>0.11290322580645162</c:v>
                </c:pt>
                <c:pt idx="476" formatCode="General">
                  <c:v>0.11176470588235295</c:v>
                </c:pt>
                <c:pt idx="477" formatCode="General">
                  <c:v>0.11120471777590565</c:v>
                </c:pt>
                <c:pt idx="478" formatCode="General">
                  <c:v>0.1086261980830671</c:v>
                </c:pt>
                <c:pt idx="479" formatCode="General">
                  <c:v>0.10736721873215303</c:v>
                </c:pt>
                <c:pt idx="480" formatCode="General">
                  <c:v>0.10687022900763359</c:v>
                </c:pt>
                <c:pt idx="481" formatCode="General">
                  <c:v>0.10642570281124497</c:v>
                </c:pt>
                <c:pt idx="482" formatCode="General">
                  <c:v>0.10605187319884726</c:v>
                </c:pt>
                <c:pt idx="483" formatCode="General">
                  <c:v>0.10455764075067024</c:v>
                </c:pt>
                <c:pt idx="484" formatCode="General">
                  <c:v>0.10452961672473866</c:v>
                </c:pt>
                <c:pt idx="485" formatCode="General">
                  <c:v>0.10429799426934099</c:v>
                </c:pt>
                <c:pt idx="486" formatCode="General">
                  <c:v>0.10429447852760736</c:v>
                </c:pt>
                <c:pt idx="487" formatCode="General">
                  <c:v>0.1040268456375839</c:v>
                </c:pt>
                <c:pt idx="488" formatCode="General">
                  <c:v>0.10397946084724005</c:v>
                </c:pt>
                <c:pt idx="489" formatCode="General">
                  <c:v>0.10391566265060241</c:v>
                </c:pt>
                <c:pt idx="490" formatCode="General">
                  <c:v>0.10389610389610389</c:v>
                </c:pt>
                <c:pt idx="491" formatCode="General">
                  <c:v>0.10289389067524117</c:v>
                </c:pt>
                <c:pt idx="492" formatCode="General">
                  <c:v>0.1009104704097117</c:v>
                </c:pt>
                <c:pt idx="493" formatCode="General">
                  <c:v>0.10052910052910054</c:v>
                </c:pt>
                <c:pt idx="494" formatCode="General">
                  <c:v>9.9767981438515091E-2</c:v>
                </c:pt>
                <c:pt idx="495" formatCode="General">
                  <c:v>9.8360655737704916E-2</c:v>
                </c:pt>
                <c:pt idx="496" formatCode="General">
                  <c:v>9.8214285714285726E-2</c:v>
                </c:pt>
                <c:pt idx="497" formatCode="General">
                  <c:v>9.7165991902833995E-2</c:v>
                </c:pt>
                <c:pt idx="498" formatCode="General">
                  <c:v>9.6000000000000002E-2</c:v>
                </c:pt>
                <c:pt idx="499" formatCode="General">
                  <c:v>9.5541401273885357E-2</c:v>
                </c:pt>
                <c:pt idx="500" formatCode="General">
                  <c:v>9.2909535452322736E-2</c:v>
                </c:pt>
                <c:pt idx="501" formatCode="General">
                  <c:v>9.1472868217054262E-2</c:v>
                </c:pt>
                <c:pt idx="502" formatCode="General">
                  <c:v>9.0909090909090912E-2</c:v>
                </c:pt>
                <c:pt idx="503" formatCode="General">
                  <c:v>8.9285714285714288E-2</c:v>
                </c:pt>
                <c:pt idx="504" formatCode="General">
                  <c:v>8.6363636363636351E-2</c:v>
                </c:pt>
                <c:pt idx="505" formatCode="General">
                  <c:v>8.538163001293661E-2</c:v>
                </c:pt>
                <c:pt idx="506" formatCode="General">
                  <c:v>8.0808080808080815E-2</c:v>
                </c:pt>
                <c:pt idx="507" formatCode="General">
                  <c:v>8.0188679245283015E-2</c:v>
                </c:pt>
                <c:pt idx="508" formatCode="General">
                  <c:v>0.08</c:v>
                </c:pt>
                <c:pt idx="509" formatCode="General">
                  <c:v>7.6923076923076927E-2</c:v>
                </c:pt>
                <c:pt idx="510" formatCode="General">
                  <c:v>7.6086956521739135E-2</c:v>
                </c:pt>
                <c:pt idx="511" formatCode="General">
                  <c:v>7.4712643678160925E-2</c:v>
                </c:pt>
                <c:pt idx="512" formatCode="General">
                  <c:v>7.407407407407407E-2</c:v>
                </c:pt>
                <c:pt idx="513" formatCode="General">
                  <c:v>6.3492063492063489E-2</c:v>
                </c:pt>
                <c:pt idx="514" formatCode="General">
                  <c:v>6.2670299727520445E-2</c:v>
                </c:pt>
                <c:pt idx="515" formatCode="General">
                  <c:v>6.0240963855421693E-2</c:v>
                </c:pt>
                <c:pt idx="516" formatCode="General">
                  <c:v>0.06</c:v>
                </c:pt>
                <c:pt idx="517" formatCode="General">
                  <c:v>5.080213903743315E-2</c:v>
                </c:pt>
                <c:pt idx="518" formatCode="General">
                  <c:v>4.8951048951048959E-2</c:v>
                </c:pt>
                <c:pt idx="519" formatCode="General">
                  <c:v>4.3137254901960791E-2</c:v>
                </c:pt>
                <c:pt idx="520" formatCode="General">
                  <c:v>3.7499999999999999E-2</c:v>
                </c:pt>
                <c:pt idx="521" formatCode="General">
                  <c:v>1.6216216216216214E-2</c:v>
                </c:pt>
                <c:pt idx="522" formatCode="General">
                  <c:v>0</c:v>
                </c:pt>
                <c:pt idx="523" formatCode="General">
                  <c:v>0</c:v>
                </c:pt>
                <c:pt idx="524" formatCode="General">
                  <c:v>0</c:v>
                </c:pt>
                <c:pt idx="525" formatCode="General">
                  <c:v>0</c:v>
                </c:pt>
                <c:pt idx="526" formatCode="General">
                  <c:v>0</c:v>
                </c:pt>
                <c:pt idx="527" formatCode="General">
                  <c:v>0</c:v>
                </c:pt>
                <c:pt idx="528" formatCode="General">
                  <c:v>0</c:v>
                </c:pt>
                <c:pt idx="529" formatCode="General">
                  <c:v>0</c:v>
                </c:pt>
                <c:pt idx="530" formatCode="General">
                  <c:v>0</c:v>
                </c:pt>
                <c:pt idx="531" formatCode="General">
                  <c:v>0</c:v>
                </c:pt>
                <c:pt idx="532" formatCode="General">
                  <c:v>0</c:v>
                </c:pt>
              </c:numCache>
            </c:numRef>
          </c:yVal>
          <c:smooth val="0"/>
          <c:extLst>
            <c:ext xmlns:c16="http://schemas.microsoft.com/office/drawing/2014/chart" uri="{C3380CC4-5D6E-409C-BE32-E72D297353CC}">
              <c16:uniqueId val="{00000000-3946-403C-8EDB-0C591266B75D}"/>
            </c:ext>
          </c:extLst>
        </c:ser>
        <c:ser>
          <c:idx val="2"/>
          <c:order val="1"/>
          <c:tx>
            <c:v>Promedio UIT</c:v>
          </c:tx>
          <c:spPr>
            <a:ln w="25400" cap="rnd">
              <a:noFill/>
              <a:round/>
            </a:ln>
            <a:effectLst/>
          </c:spPr>
          <c:marker>
            <c:symbol val="circle"/>
            <c:size val="5"/>
            <c:spPr>
              <a:solidFill>
                <a:schemeClr val="accent3"/>
              </a:solidFill>
              <a:ln w="9525">
                <a:solidFill>
                  <a:schemeClr val="accent3"/>
                </a:solidFill>
              </a:ln>
              <a:effectLst/>
            </c:spPr>
          </c:marker>
          <c:trendline>
            <c:spPr>
              <a:ln w="19050" cap="rnd">
                <a:solidFill>
                  <a:schemeClr val="accent2"/>
                </a:solidFill>
                <a:prstDash val="solid"/>
              </a:ln>
              <a:effectLst/>
            </c:spPr>
            <c:trendlineType val="linear"/>
            <c:dispRSqr val="0"/>
            <c:dispEq val="0"/>
          </c:trendline>
          <c:xVal>
            <c:numRef>
              <c:f>' Stow 15-30Jun'!$E$537:$E$538</c:f>
              <c:numCache>
                <c:formatCode>General</c:formatCode>
                <c:ptCount val="2"/>
                <c:pt idx="0">
                  <c:v>0</c:v>
                </c:pt>
                <c:pt idx="1">
                  <c:v>0</c:v>
                </c:pt>
              </c:numCache>
            </c:numRef>
          </c:xVal>
          <c:yVal>
            <c:numRef>
              <c:f>' Stow 15-30Jun'!$D$537:$D$538</c:f>
              <c:numCache>
                <c:formatCode>General</c:formatCode>
                <c:ptCount val="2"/>
                <c:pt idx="0">
                  <c:v>0</c:v>
                </c:pt>
                <c:pt idx="1">
                  <c:v>0</c:v>
                </c:pt>
              </c:numCache>
            </c:numRef>
          </c:yVal>
          <c:smooth val="0"/>
          <c:extLst>
            <c:ext xmlns:c16="http://schemas.microsoft.com/office/drawing/2014/chart" uri="{C3380CC4-5D6E-409C-BE32-E72D297353CC}">
              <c16:uniqueId val="{0000021A-7EAD-458F-B0DC-E2DA3D8C235F}"/>
            </c:ext>
          </c:extLst>
        </c:ser>
        <c:ser>
          <c:idx val="1"/>
          <c:order val="2"/>
          <c:tx>
            <c:v>Promedio Rate </c:v>
          </c:tx>
          <c:spPr>
            <a:ln w="25400" cap="rnd">
              <a:solidFill>
                <a:schemeClr val="accent2"/>
              </a:solidFill>
              <a:round/>
            </a:ln>
            <a:effectLst/>
          </c:spPr>
          <c:marker>
            <c:symbol val="circle"/>
            <c:size val="5"/>
            <c:spPr>
              <a:solidFill>
                <a:schemeClr val="accent2"/>
              </a:solidFill>
              <a:ln w="9525">
                <a:solidFill>
                  <a:schemeClr val="accent2"/>
                </a:solidFill>
              </a:ln>
              <a:effectLst/>
            </c:spPr>
          </c:marker>
          <c:trendline>
            <c:spPr>
              <a:ln w="19050" cap="rnd">
                <a:solidFill>
                  <a:schemeClr val="accent2"/>
                </a:solidFill>
                <a:prstDash val="sysDot"/>
              </a:ln>
              <a:effectLst/>
            </c:spPr>
            <c:trendlineType val="linear"/>
            <c:dispRSqr val="0"/>
            <c:dispEq val="0"/>
          </c:trendline>
          <c:trendline>
            <c:spPr>
              <a:ln w="19050" cap="rnd">
                <a:solidFill>
                  <a:schemeClr val="accent2"/>
                </a:solidFill>
                <a:prstDash val="sysDot"/>
              </a:ln>
              <a:effectLst/>
            </c:spPr>
            <c:trendlineType val="linear"/>
            <c:dispRSqr val="0"/>
            <c:dispEq val="0"/>
          </c:trendline>
          <c:xVal>
            <c:numRef>
              <c:f>' Stow 15-30Jun'!$D$540:$D$541</c:f>
              <c:numCache>
                <c:formatCode>General</c:formatCode>
                <c:ptCount val="2"/>
              </c:numCache>
            </c:numRef>
          </c:xVal>
          <c:yVal>
            <c:numRef>
              <c:f>' Stow 15-30Jun'!$E$540:$E$541</c:f>
              <c:numCache>
                <c:formatCode>General</c:formatCode>
                <c:ptCount val="2"/>
              </c:numCache>
            </c:numRef>
          </c:yVal>
          <c:smooth val="0"/>
          <c:extLst>
            <c:ext xmlns:c16="http://schemas.microsoft.com/office/drawing/2014/chart" uri="{C3380CC4-5D6E-409C-BE32-E72D297353CC}">
              <c16:uniqueId val="{0000021E-7EAD-458F-B0DC-E2DA3D8C235F}"/>
            </c:ext>
          </c:extLst>
        </c:ser>
        <c:dLbls>
          <c:showLegendKey val="0"/>
          <c:showVal val="0"/>
          <c:showCatName val="0"/>
          <c:showSerName val="0"/>
          <c:showPercent val="0"/>
          <c:showBubbleSize val="0"/>
        </c:dLbls>
        <c:axId val="1587721135"/>
        <c:axId val="1587723631"/>
      </c:scatterChart>
      <c:valAx>
        <c:axId val="1587721135"/>
        <c:scaling>
          <c:orientation val="minMax"/>
          <c:max val="475000"/>
          <c:min val="5000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Rates UPH</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87723631"/>
        <c:crosses val="autoZero"/>
        <c:crossBetween val="midCat"/>
      </c:valAx>
      <c:valAx>
        <c:axId val="1587723631"/>
        <c:scaling>
          <c:orientation val="minMax"/>
          <c:max val="1"/>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 UIT</a:t>
                </a:r>
              </a:p>
              <a:p>
                <a:pPr>
                  <a:defRPr/>
                </a:pP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87721135"/>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 AA x Grupo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2-D814-4574-A5E9-E1B7F1E4BC46}"/>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D814-4574-A5E9-E1B7F1E4BC46}"/>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4-D814-4574-A5E9-E1B7F1E4BC46}"/>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5-D814-4574-A5E9-E1B7F1E4BC46}"/>
              </c:ext>
            </c:extLst>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val>
            <c:numRef>
              <c:f>' Stow 15-30Jun'!$F$537:$F$540</c:f>
              <c:numCache>
                <c:formatCode>General</c:formatCode>
                <c:ptCount val="4"/>
                <c:pt idx="0">
                  <c:v>0</c:v>
                </c:pt>
                <c:pt idx="1">
                  <c:v>0</c:v>
                </c:pt>
                <c:pt idx="2">
                  <c:v>0</c:v>
                </c:pt>
                <c:pt idx="3">
                  <c:v>0</c:v>
                </c:pt>
              </c:numCache>
            </c:numRef>
          </c:val>
          <c:extLst>
            <c:ext xmlns:c16="http://schemas.microsoft.com/office/drawing/2014/chart" uri="{C3380CC4-5D6E-409C-BE32-E72D297353CC}">
              <c16:uniqueId val="{00000000-D814-4574-A5E9-E1B7F1E4BC46}"/>
            </c:ext>
          </c:extLst>
        </c:ser>
        <c:dLbls>
          <c:showLegendKey val="0"/>
          <c:showVal val="0"/>
          <c:showCatName val="0"/>
          <c:showSerName val="0"/>
          <c:showPercent val="0"/>
          <c:showBubbleSize val="0"/>
          <c:showLeaderLines val="0"/>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 Horas de UIT x Grupo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AFDB-4E84-82B9-9D7404153C6D}"/>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AFDB-4E84-82B9-9D7404153C6D}"/>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AFDB-4E84-82B9-9D7404153C6D}"/>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AFDB-4E84-82B9-9D7404153C6D}"/>
              </c:ext>
            </c:extLst>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val>
            <c:numRef>
              <c:f>' Stow 15-30Jun'!$G$537:$G$540</c:f>
              <c:numCache>
                <c:formatCode>General</c:formatCode>
                <c:ptCount val="4"/>
                <c:pt idx="0">
                  <c:v>1087.7095903588413</c:v>
                </c:pt>
                <c:pt idx="1">
                  <c:v>960.44149010754165</c:v>
                </c:pt>
                <c:pt idx="2">
                  <c:v>603.51506839362457</c:v>
                </c:pt>
                <c:pt idx="3">
                  <c:v>447.54120276107409</c:v>
                </c:pt>
              </c:numCache>
            </c:numRef>
          </c:val>
          <c:extLst>
            <c:ext xmlns:c16="http://schemas.microsoft.com/office/drawing/2014/chart" uri="{C3380CC4-5D6E-409C-BE32-E72D297353CC}">
              <c16:uniqueId val="{00000000-8002-473A-8B2F-EF14A0E51D1F}"/>
            </c:ext>
          </c:extLst>
        </c:ser>
        <c:dLbls>
          <c:showLegendKey val="0"/>
          <c:showVal val="0"/>
          <c:showCatName val="0"/>
          <c:showSerName val="0"/>
          <c:showPercent val="0"/>
          <c:showBubbleSize val="0"/>
          <c:showLeaderLines val="0"/>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7</xdr:col>
      <xdr:colOff>587375</xdr:colOff>
      <xdr:row>11</xdr:row>
      <xdr:rowOff>168274</xdr:rowOff>
    </xdr:from>
    <xdr:to>
      <xdr:col>26</xdr:col>
      <xdr:colOff>46089</xdr:colOff>
      <xdr:row>66</xdr:row>
      <xdr:rowOff>30725</xdr:rowOff>
    </xdr:to>
    <xdr:graphicFrame macro="[0]!InicializarGrafico">
      <xdr:nvGraphicFramePr>
        <xdr:cNvPr id="8" name="Chart 7">
          <a:extLst>
            <a:ext uri="{FF2B5EF4-FFF2-40B4-BE49-F238E27FC236}">
              <a16:creationId xmlns:a16="http://schemas.microsoft.com/office/drawing/2014/main" id="{321C7DF9-2FED-43F0-AC94-FCA7AC4E952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768350</xdr:colOff>
      <xdr:row>541</xdr:row>
      <xdr:rowOff>77787</xdr:rowOff>
    </xdr:from>
    <xdr:to>
      <xdr:col>6</xdr:col>
      <xdr:colOff>530225</xdr:colOff>
      <xdr:row>556</xdr:row>
      <xdr:rowOff>106362</xdr:rowOff>
    </xdr:to>
    <xdr:graphicFrame macro="">
      <xdr:nvGraphicFramePr>
        <xdr:cNvPr id="4" name="Chart 3">
          <a:extLst>
            <a:ext uri="{FF2B5EF4-FFF2-40B4-BE49-F238E27FC236}">
              <a16:creationId xmlns:a16="http://schemas.microsoft.com/office/drawing/2014/main" id="{FC667EC7-AF74-4656-92D9-BEA9341F5CC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847725</xdr:colOff>
      <xdr:row>557</xdr:row>
      <xdr:rowOff>1587</xdr:rowOff>
    </xdr:from>
    <xdr:to>
      <xdr:col>6</xdr:col>
      <xdr:colOff>555624</xdr:colOff>
      <xdr:row>574</xdr:row>
      <xdr:rowOff>57150</xdr:rowOff>
    </xdr:to>
    <xdr:graphicFrame macro="">
      <xdr:nvGraphicFramePr>
        <xdr:cNvPr id="5" name="Chart 4">
          <a:extLst>
            <a:ext uri="{FF2B5EF4-FFF2-40B4-BE49-F238E27FC236}">
              <a16:creationId xmlns:a16="http://schemas.microsoft.com/office/drawing/2014/main" id="{E9A1D251-0283-4BC2-BBA2-BED6C5B0977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oneCell">
    <xdr:from>
      <xdr:col>6</xdr:col>
      <xdr:colOff>1225550</xdr:colOff>
      <xdr:row>2</xdr:row>
      <xdr:rowOff>82550</xdr:rowOff>
    </xdr:from>
    <xdr:to>
      <xdr:col>9</xdr:col>
      <xdr:colOff>19050</xdr:colOff>
      <xdr:row>16</xdr:row>
      <xdr:rowOff>76200</xdr:rowOff>
    </xdr:to>
    <mc:AlternateContent xmlns:mc="http://schemas.openxmlformats.org/markup-compatibility/2006" xmlns:a14="http://schemas.microsoft.com/office/drawing/2010/main">
      <mc:Choice Requires="a14">
        <xdr:graphicFrame macro="">
          <xdr:nvGraphicFramePr>
            <xdr:cNvPr id="2" name="Grupos">
              <a:extLst>
                <a:ext uri="{FF2B5EF4-FFF2-40B4-BE49-F238E27FC236}">
                  <a16:creationId xmlns:a16="http://schemas.microsoft.com/office/drawing/2014/main" id="{E59FF15A-9FBA-406C-A030-85E529E51BA8}"/>
                </a:ext>
              </a:extLst>
            </xdr:cNvPr>
            <xdr:cNvGraphicFramePr/>
          </xdr:nvGraphicFramePr>
          <xdr:xfrm>
            <a:off x="0" y="0"/>
            <a:ext cx="0" cy="0"/>
          </xdr:xfrm>
          <a:graphic>
            <a:graphicData uri="http://schemas.microsoft.com/office/drawing/2010/slicer">
              <sle:slicer xmlns:sle="http://schemas.microsoft.com/office/drawing/2010/slicer" name="Grupos"/>
            </a:graphicData>
          </a:graphic>
        </xdr:graphicFrame>
      </mc:Choice>
      <mc:Fallback xmlns="">
        <xdr:sp macro="" textlink="">
          <xdr:nvSpPr>
            <xdr:cNvPr id="0" name=""/>
            <xdr:cNvSpPr>
              <a:spLocks noTextEdit="1"/>
            </xdr:cNvSpPr>
          </xdr:nvSpPr>
          <xdr:spPr>
            <a:xfrm>
              <a:off x="8753475" y="4476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Camara Manresa, Jose Javier" refreshedDate="45853.570884722219" createdVersion="7" refreshedVersion="7" minRefreshableVersion="3" recordCount="534" xr:uid="{0FB49E3C-EDFC-4B00-BF41-3C7F15CF61A5}">
  <cacheSource type="worksheet">
    <worksheetSource ref="A1:F535" sheet="Sheet3"/>
  </cacheSource>
  <cacheFields count="6">
    <cacheField name="User_Id ▾" numFmtId="0">
      <sharedItems count="534">
        <s v="aaemilio"/>
        <s v="abdbouja"/>
        <s v="abdelboi"/>
        <s v="abdellme"/>
        <s v="abdhzian"/>
        <s v="abzianid"/>
        <s v="acamposi"/>
        <s v="accerve"/>
        <s v="acoaless"/>
        <s v="adrcerme"/>
        <s v="adriaceg"/>
        <s v="adriamaq"/>
        <s v="afeladel"/>
        <s v="afrasque"/>
        <s v="aidelrio"/>
        <s v="aihuerta"/>
        <s v="ajauquil"/>
        <s v="alalexes"/>
        <s v="alaserg"/>
        <s v="albamarr"/>
        <s v="albnmart"/>
        <s v="alejanfn"/>
        <s v="alfocone"/>
        <s v="alfomsan"/>
        <s v="almayorr"/>
        <s v="alvalcar"/>
        <s v="alvarhfr"/>
        <s v="alvaroog"/>
        <s v="alvaters"/>
        <s v="alvcastg"/>
        <s v="amadorrz"/>
        <s v="amarinln"/>
        <s v="amcamado"/>
        <s v="amgrod"/>
        <s v="amoyapad"/>
        <s v="anaruin"/>
        <s v="anasanzt"/>
        <s v="anavanes"/>
        <s v="anburlam"/>
        <s v="andreulo"/>
        <s v="angelgme"/>
        <s v="ankelaij"/>
        <s v="annidaim"/>
        <s v="anouguiz"/>
        <s v="antogarw"/>
        <s v="antonjma"/>
        <s v="antotort"/>
        <s v="anunesba"/>
        <s v="anyegalf"/>
        <s v="arayalam"/>
        <s v="arelgvan"/>
        <s v="ariaspal"/>
        <s v="aroxanag"/>
        <s v="arroboga"/>
        <s v="artmarli"/>
        <s v="aucacjen"/>
        <s v="ayazizih"/>
        <s v="azamboun"/>
        <s v="azekrisa"/>
        <s v="bachelot"/>
        <s v="bahidahg"/>
        <s v="bailvice"/>
        <s v="baltasma"/>
        <s v="banoanto"/>
        <s v="banosrma"/>
        <s v="barbepau"/>
        <s v="barcmmar"/>
        <s v="barrurod"/>
        <s v="beljcarm"/>
        <s v="belkmoha"/>
        <s v="benhafss"/>
        <s v="berramhm"/>
        <s v="biengomb"/>
        <s v="bmartseb"/>
        <s v="bmendoja"/>
        <s v="bnoruizb"/>
        <s v="boizacam"/>
        <s v="bouissig"/>
        <s v="boutkhta"/>
        <s v="brubijen"/>
        <s v="bulpedro"/>
        <s v="bveraval"/>
        <s v="byjimene"/>
        <s v="cabalbal"/>
        <s v="cahcarlo"/>
        <s v="caizapia"/>
        <s v="calvomun"/>
        <s v="canofema"/>
        <s v="canovlak"/>
        <s v="caparosc"/>
        <s v="carcampi"/>
        <s v="cardozoy"/>
        <s v="carmliqu"/>
        <s v="carpnjos"/>
        <s v="carrimap"/>
        <s v="carrjanj"/>
        <s v="castiuaa"/>
        <s v="cazajuaq"/>
        <s v="ccastelj"/>
        <s v="cdorinao"/>
        <s v="chaimebe"/>
        <s v="clyanira"/>
        <s v="cmchamor"/>
        <s v="cocaquod"/>
        <s v="crespota"/>
        <s v="crisilvl"/>
        <s v="crismaz"/>
        <s v="cruzhlju"/>
        <s v="csanchlu"/>
        <s v="cujhonny"/>
        <s v="dabdelax"/>
        <s v="dandragw"/>
        <s v="davdoler"/>
        <s v="dayrmend"/>
        <s v="dcarolio"/>
        <s v="dceliasa"/>
        <s v="dejepman"/>
        <s v="dejoseja"/>
        <s v="delfixju"/>
        <s v="dfralope"/>
        <s v="diazrojj"/>
        <s v="dibelmar"/>
        <s v="diegosus"/>
        <s v="djfacund"/>
        <s v="dmaillva"/>
        <s v="dpjosevi"/>
        <s v="droblesd"/>
        <s v="droblesj"/>
        <s v="eabadcue"/>
        <s v="ebconesa"/>
        <s v="ecofrank"/>
        <s v="edoborjo"/>
        <s v="eduapedv"/>
        <s v="eduarsad"/>
        <s v="efaelham"/>
        <s v="egeadani"/>
        <s v="egearojl"/>
        <s v="ehamam"/>
        <s v="ekatgonz"/>
        <s v="elfamohu"/>
        <s v="elhajjaa"/>
        <s v="elkimart"/>
        <s v="emeljaim"/>
        <s v="emilyner"/>
        <s v="emislope"/>
        <s v="enriqrum"/>
        <s v="eramosca"/>
        <s v="erikcarc"/>
        <s v="esdmarta"/>
        <s v="espadade"/>
        <s v="esparzwf"/>
        <s v="espiydan"/>
        <s v="essabirs"/>
        <s v="estebpes"/>
        <s v="ezmartio"/>
        <s v="fcarrima"/>
        <s v="fcristcu"/>
        <s v="fdeniafu"/>
        <s v="feepablo"/>
        <s v="feespinn"/>
        <s v="fehsuare"/>
        <s v="felautar"/>
        <s v="femarias"/>
        <s v="ferjgarc"/>
        <s v="fernaaua"/>
        <s v="fernaolg"/>
        <s v="ferrufii"/>
        <s v="fkaailiz"/>
        <s v="fkfernan"/>
        <s v="fmadyman"/>
        <s v="fmariajm"/>
        <s v="forcamaa"/>
        <s v="fpenacwi"/>
        <s v="fracecil"/>
        <s v="francods"/>
        <s v="francyuf"/>
        <s v="fraralar"/>
        <s v="fuentcay"/>
        <s v="gaisssek"/>
        <s v="galanmon"/>
        <s v="gaonaalr"/>
        <s v="garcgine"/>
        <s v="garcigfr"/>
        <s v="garciije"/>
        <s v="garcipey"/>
        <s v="garcksan"/>
        <s v="garcpju"/>
        <s v="garridmd"/>
        <s v="garsgine"/>
        <s v="gasamuem"/>
        <s v="ginecana"/>
        <s v="gizzambr"/>
        <s v="gonzglui"/>
        <s v="gonzyver"/>
        <s v="gpedrojo"/>
        <s v="gugarmon"/>
        <s v="guiderce"/>
        <s v="guillpue"/>
        <s v="guilmurm"/>
        <s v="guirjuan"/>
        <s v="haazouzo"/>
        <s v="hamabdeg"/>
        <s v="handrmas"/>
        <s v="haralejh"/>
        <s v="hdangonz"/>
        <s v="hejeroni"/>
        <s v="herraizc"/>
        <s v="herrluc"/>
        <s v="hgaeliot"/>
        <s v="hieloual"/>
        <s v="hlopezje"/>
        <s v="hoboujaw"/>
        <s v="hperezpr"/>
        <s v="iantomar"/>
        <s v="ibanexal"/>
        <s v="icaballj"/>
        <s v="icbouhou"/>
        <s v="ikaawa"/>
        <s v="ikgeorgi"/>
        <s v="ilopedav"/>
        <s v="iloremed"/>
        <s v="imonserr"/>
        <s v="imranbak"/>
        <s v="inaoumeq"/>
        <s v="iqcastro"/>
        <s v="irenoton"/>
        <s v="isabelmx"/>
        <s v="ismenend"/>
        <s v="isriofri"/>
        <s v="jadrdiaz"/>
        <s v="jamfadil"/>
        <s v="jaquellc"/>
        <s v="jasfranz"/>
        <s v="javbuenp"/>
        <s v="jennztor"/>
        <s v="jenripoe"/>
        <s v="jgarccar"/>
        <s v="jhacarri"/>
        <s v="jimariai"/>
        <s v="jnatrami"/>
        <s v="jncuriel"/>
        <s v="joanmaal"/>
        <s v="joaqualf"/>
        <s v="joaqucaw"/>
        <s v="joaqvida"/>
        <s v="jokesteb"/>
        <s v="jonxfern"/>
        <s v="jorybaly"/>
        <s v="joscujip"/>
        <s v="josecamj"/>
        <s v="josedica"/>
        <s v="josejavw"/>
        <s v="josemkmo"/>
        <s v="josergom"/>
        <s v="josgodix"/>
        <s v="josmerpe"/>
        <s v="josvazql"/>
        <s v="jotosete"/>
        <s v="jsreyesc"/>
        <s v="juafherm"/>
        <s v="juanjosn"/>
        <s v="juaqlope"/>
        <s v="juarcort"/>
        <s v="jumorenu"/>
        <s v="karencax"/>
        <s v="kenddcau"/>
        <s v="kharmach"/>
        <s v="khaycmoh"/>
        <s v="khghizla"/>
        <s v="krciziun"/>
        <s v="kroclope"/>
        <s v="ksvictor"/>
        <s v="lacaljos"/>
        <s v="lahlonas"/>
        <s v="lahlouzf"/>
        <s v="lajaravs"/>
        <s v="langeliv"/>
        <s v="laumvale"/>
        <s v="lauraqor"/>
        <s v="laustric"/>
        <s v="lazarbal"/>
        <s v="lcarrasi"/>
        <s v="leolimar"/>
        <s v="leonmofr"/>
        <s v="lguzmane"/>
        <s v="lillojul"/>
        <s v="linavend"/>
        <s v="lliherna"/>
        <s v="llorcato"/>
        <s v="lmrosama"/>
        <s v="lopandrp"/>
        <s v="lopesort"/>
        <s v="lopezaen"/>
        <s v="lopezagr"/>
        <s v="lopezsmv"/>
        <s v="lopezvpe"/>
        <s v="lorenpax"/>
        <s v="lorjuanu"/>
        <s v="lourdale"/>
        <s v="lozantom"/>
        <s v="lsalhoma"/>
        <s v="luciamav"/>
        <s v="lucibmar"/>
        <s v="lugoemel"/>
        <s v="luiswhid"/>
        <s v="maamalih"/>
        <s v="mabadri"/>
        <s v="mabanosm"/>
        <s v="maciaecr"/>
        <s v="macondej"/>
        <s v="maigrspe"/>
        <s v="maijuanc"/>
        <s v="maizimar"/>
        <s v="mamontoq"/>
        <s v="manarcim"/>
        <s v="maogarc"/>
        <s v="maouichi"/>
        <s v="mapantol"/>
        <s v="maqalej"/>
        <s v="marariol"/>
        <s v="marcoqca"/>
        <s v="mariabef"/>
        <s v="maricafe"/>
        <s v="marilopr"/>
        <s v="marinfue"/>
        <s v="marlooje"/>
        <s v="marovand"/>
        <s v="marpremi"/>
        <s v="marqupil"/>
        <s v="marreboy"/>
        <s v="marrenas"/>
        <s v="martaomo"/>
        <s v="marthazf"/>
        <s v="martlaja"/>
        <s v="martmh"/>
        <s v="martojes"/>
        <s v="maruizpe"/>
        <s v="masegosf"/>
        <s v="masfmarc"/>
        <s v="maysvald"/>
        <s v="mazmarin"/>
        <s v="mcantama"/>
        <s v="mdamaiba"/>
        <s v="medifrav"/>
        <s v="melgarek"/>
        <s v="menramat"/>
        <s v="mgarraqu"/>
        <s v="migfranh"/>
        <s v="mihirgjo"/>
        <s v="mikorteg"/>
        <s v="mirasane"/>
        <s v="mlibanol"/>
        <s v="moanadol"/>
        <s v="mobouchn"/>
        <s v="mogkadfi"/>
        <s v="mohamtik"/>
        <s v="mohazerh"/>
        <s v="mohinaou"/>
        <s v="molerome"/>
        <s v="molipang"/>
        <s v="montalac"/>
        <s v="morexyer"/>
        <s v="morezant"/>
        <s v="moyavame"/>
        <s v="mparedee"/>
        <s v="mrenosl"/>
        <s v="mulmirif"/>
        <s v="murccarm"/>
        <s v="muysanti"/>
        <s v="navarrzj"/>
        <s v="nberramk"/>
        <s v="nellroch"/>
        <s v="nelpprad"/>
        <s v="nmigufer"/>
        <s v="noeliacu"/>
        <s v="noguerbe"/>
        <s v="nolasclu"/>
        <s v="nortesbm"/>
        <s v="npedrolu"/>
        <s v="nzjmar"/>
        <s v="obandrei"/>
        <s v="obastida"/>
        <s v="oevamari"/>
        <s v="ojuanmma"/>
        <s v="olmopedf"/>
        <s v="omariaeu"/>
        <s v="omolimar"/>
        <s v="opesergi"/>
        <s v="oreneses"/>
        <s v="ortalejd"/>
        <s v="ortizres"/>
        <s v="ortsbenj"/>
        <s v="ossamani"/>
        <s v="otadrian"/>
        <s v="ouadbrah"/>
        <s v="oujobego"/>
        <s v="paganmor"/>
        <s v="paladiyq"/>
        <s v="pbmoreno"/>
        <s v="peaaleja"/>
        <s v="pedrnmar"/>
        <s v="pedroarv"/>
        <s v="peolivag"/>
        <s v="perezojm"/>
        <s v="pinaroan"/>
        <s v="pjoseaso"/>
        <s v="planmarb"/>
        <s v="pmoroleg"/>
        <s v="ponomaol"/>
        <s v="pradochm"/>
        <s v="prioange"/>
        <s v="provalle"/>
        <s v="qabdedri"/>
        <s v="qcalison"/>
        <s v="qcufranc"/>
        <s v="qdamaiba"/>
        <s v="qgomezda"/>
        <s v="qospulid"/>
        <s v="queluisa"/>
        <s v="quevelen"/>
        <s v="raipared"/>
        <s v="ramateod"/>
        <s v="raulmorx"/>
        <s v="rebjuanh"/>
        <s v="requenan"/>
        <s v="reyerubz"/>
        <s v="reyescen"/>
        <s v="riquramo"/>
        <s v="rkdani"/>
        <s v="rmartsau"/>
        <s v="rmerceji"/>
        <s v="rmoraana"/>
        <s v="rocariny"/>
        <s v="rodrador"/>
        <s v="rodriejo"/>
        <s v="rodrmanv"/>
        <s v="rojenif"/>
        <s v="rombotia"/>
        <s v="rosamdel"/>
        <s v="rosavsan"/>
        <s v="rosiquea"/>
        <s v="rosmilvi"/>
        <s v="rsanrube"/>
        <s v="rtsoraya"/>
        <s v="rubecorr"/>
        <s v="ruizgimw"/>
        <s v="ruizvmir"/>
        <s v="ruurzagg"/>
        <s v="rwherran"/>
        <s v="saeloual"/>
        <s v="sagualdr"/>
        <s v="salmarir"/>
        <s v="salomlma"/>
        <s v="samajoha"/>
        <s v="sanaemej"/>
        <s v="sanandrb"/>
        <s v="sancconz"/>
        <s v="sanchmbo"/>
        <s v="sandloai"/>
        <s v="sanpedrm"/>
        <s v="santiahg"/>
        <s v="sapjorge"/>
        <s v="sarriofi"/>
        <s v="segpablo"/>
        <s v="sergigah"/>
        <s v="sergioof"/>
        <s v="sheilphe"/>
        <s v="sherezpa"/>
        <s v="silvadke"/>
        <s v="silvkdia"/>
        <s v="simonsoe"/>
        <s v="sjuanenr"/>
        <s v="sonkorti"/>
        <s v="souadnbe"/>
        <s v="srosanto"/>
        <s v="srosiquf"/>
        <s v="sseraqui"/>
        <s v="stefafbe"/>
        <s v="taguisar"/>
        <s v="tamamorc"/>
        <s v="taniugar"/>
        <s v="tatosori"/>
        <s v="tatrojas"/>
        <s v="tayalama"/>
        <s v="tebasisa"/>
        <s v="tifmartk"/>
        <s v="tiintric"/>
        <s v="tloanton"/>
        <s v="torrclaa"/>
        <s v="touainho"/>
        <s v="ttinocoo"/>
        <s v="ualejmen"/>
        <s v="uchuarig"/>
        <s v="ulorerod"/>
        <s v="uyollope"/>
        <s v="vacalema"/>
        <s v="vadohele"/>
        <s v="varonahr"/>
        <s v="ventbogd"/>
        <s v="verdupae"/>
        <s v="vewrosar"/>
        <s v="vicentno"/>
        <s v="vicevicp"/>
        <s v="vichmari"/>
        <s v="victopul"/>
        <s v="vicvargr"/>
        <s v="vigonzae"/>
        <s v="vjcarmen"/>
        <s v="vlojanol"/>
        <s v="vramieli"/>
        <s v="weqporti"/>
        <s v="wsanchla"/>
        <s v="xandrcas"/>
        <s v="xantsara"/>
        <s v="xcoranto"/>
        <s v="xgarciaz"/>
        <s v="xmpedroj"/>
        <s v="xnouguje"/>
        <s v="xtaniama"/>
        <s v="yasrahms"/>
        <s v="yfcastil"/>
        <s v="ygaralfo"/>
        <s v="ymartadr"/>
        <s v="yomarcos"/>
        <s v="zamoraib"/>
        <s v="zapatadi"/>
        <s v="zaraquep"/>
        <s v="zaseange"/>
        <s v="zmarigin"/>
        <s v="zmarmale"/>
        <s v="zperezar"/>
        <s v="ztomasmm"/>
        <s v="zubrayne"/>
        <s v="Average"/>
      </sharedItems>
    </cacheField>
    <cacheField name="Logged_Hours" numFmtId="0">
      <sharedItems containsSemiMixedTypes="0" containsString="0" containsNumber="1" minValue="1.65E-3" maxValue="80.263000000000005"/>
    </cacheField>
    <cacheField name="Stow_Rate" numFmtId="0">
      <sharedItems containsSemiMixedTypes="0" containsString="0" containsNumber="1" minValue="0.12021999999999999" maxValue="590.20699999999999"/>
    </cacheField>
    <cacheField name="Unknown Idle %" numFmtId="0">
      <sharedItems containsSemiMixedTypes="0" containsString="0" containsNumber="1" minValue="0" maxValue="1"/>
    </cacheField>
    <cacheField name="Horas Unknown" numFmtId="0">
      <sharedItems containsSemiMixedTypes="0" containsString="0" containsNumber="1" minValue="0" maxValue="2.5979227708179811E-2"/>
    </cacheField>
    <cacheField name="Grupos" numFmtId="0">
      <sharedItems containsString="0" containsBlank="1" containsNumber="1" containsInteger="1" minValue="1" maxValue="4" count="5">
        <n v="1"/>
        <n v="2"/>
        <n v="3"/>
        <n v="4"/>
        <m/>
      </sharedItems>
    </cacheField>
  </cacheFields>
  <extLst>
    <ext xmlns:x14="http://schemas.microsoft.com/office/spreadsheetml/2009/9/main" uri="{725AE2AE-9491-48be-B2B4-4EB974FC3084}">
      <x14:pivotCacheDefinition pivotCacheId="1421082737"/>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Camara Manresa, Jose Javier" refreshedDate="45854.403231249998" createdVersion="7" refreshedVersion="7" minRefreshableVersion="3" recordCount="335" xr:uid="{71C11F7A-A85E-485C-88FD-E185757FC039}">
  <cacheSource type="worksheet">
    <worksheetSource ref="A1:C336" sheet="ALLOC"/>
  </cacheSource>
  <cacheFields count="3">
    <cacheField name="Login" numFmtId="0">
      <sharedItems count="206">
        <s v="amarinln"/>
        <s v="barbepau"/>
        <s v="davdoler"/>
        <s v="egarmar"/>
        <s v="fcristcu"/>
        <s v="francyuf"/>
        <s v="garcgine"/>
        <s v="gonzglui"/>
        <s v="gpedrojo"/>
        <s v="herraizc"/>
        <s v="hlopezje"/>
        <s v="jmolinaq"/>
        <s v="lliherna"/>
        <s v="murciabe"/>
        <s v="ojuanmma"/>
        <s v="ourkiabm"/>
        <s v="paladiyq"/>
        <s v="prioange"/>
        <s v="rebjuanh"/>
        <s v="rojenif"/>
        <s v="tatosori"/>
        <s v="acamposi"/>
        <s v="antabelw"/>
        <s v="antjpere"/>
        <s v="bouissig"/>
        <s v="bulpedro"/>
        <s v="egearojl"/>
        <s v="fdeniafu"/>
        <s v="jncuriel"/>
        <s v="lopezsmv"/>
        <s v="padsjohn"/>
        <s v="qlopalba"/>
        <s v="rtsoraya"/>
        <s v="silvadke"/>
        <s v="tayalama"/>
        <s v="vlojanol"/>
        <s v="adriamaq"/>
        <s v="afrasque"/>
        <s v="alejanfn"/>
        <s v="alvaroog"/>
        <s v="brocalmr"/>
        <s v="ehamam"/>
        <s v="fuentcay"/>
        <s v="gizzambr"/>
        <s v="hamabdeg"/>
        <s v="javbuenp"/>
        <s v="lmrosama"/>
        <s v="maricafe"/>
        <s v="reyerubz"/>
        <s v="vadohele"/>
        <s v="haralejh"/>
        <s v="ismenend"/>
        <s v="jasfranz"/>
        <s v="linavend"/>
        <s v="marlooje"/>
        <s v="mobouchn"/>
        <s v="nolasclu"/>
        <s v="oujobego"/>
        <s v="rubecorr"/>
        <s v="altedhjo"/>
        <s v="antotort"/>
        <s v="cararism"/>
        <s v="dabdelax"/>
        <s v="garcigfr"/>
        <s v="ikgeorgi"/>
        <s v="jimariai"/>
        <s v="karlamba"/>
        <s v="laumvale"/>
        <s v="martmh"/>
        <s v="rosmilvi"/>
        <s v="srosanto"/>
        <s v="tamamorc"/>
        <s v="droblesd"/>
        <s v="eduarhsa"/>
        <s v="eduinsmo"/>
        <s v="wangalbu"/>
        <s v="zubrayne"/>
        <s v="bveraval"/>
        <s v="fernaaua"/>
        <s v="gasamuem"/>
        <s v="ingrreye"/>
        <s v="martaomo"/>
        <s v="nelpprad"/>
        <s v="ortizres"/>
        <s v="peolivag"/>
        <s v="pradochm"/>
        <s v="qabdedri"/>
        <s v="uyollope"/>
        <s v="zperezar"/>
        <s v="aziztoba"/>
        <s v="bmartseb"/>
        <s v="domiorgi"/>
        <s v="elfamohu"/>
        <s v="reyescen"/>
        <s v="anunesba"/>
        <s v="bmendoja"/>
        <s v="boizacam"/>
        <s v="dayrmend"/>
        <s v="delfixju"/>
        <s v="guilmurm"/>
        <s v="handrmas"/>
        <s v="perezhep"/>
        <s v="raipared"/>
        <s v="byjimene"/>
        <s v="cmchamor"/>
        <s v="gonzyver"/>
        <s v="jenripoe"/>
        <s v="jsreyesc"/>
        <s v="laustric"/>
        <s v="leonmofr"/>
        <s v="macondej"/>
        <s v="maogarc"/>
        <s v="maruizpe"/>
        <s v="mirasane"/>
        <s v="moyavame"/>
        <s v="nortesbm"/>
        <s v="oevamari"/>
        <s v="abdellme"/>
        <s v="abdhzian"/>
        <s v="albamarr"/>
        <s v="alfomsan"/>
        <s v="calvomun"/>
        <s v="felautar"/>
        <s v="jokesteb"/>
        <s v="ksvictor"/>
        <s v="lejaoro"/>
        <s v="luciamav"/>
        <s v="maigrspe"/>
        <s v="mguennan"/>
        <s v="nberramk"/>
        <s v="otadrian"/>
        <s v="pjoseaso"/>
        <s v="qaleange"/>
        <s v="sergigah"/>
        <s v="tloanton"/>
        <s v="jeanhesp"/>
        <s v="joaqvida"/>
        <s v="mapantol"/>
        <s v="moscjhos"/>
        <s v="mrenosl"/>
        <s v="palaisra"/>
        <s v="pmudanie"/>
        <s v="raulmorx"/>
        <s v="rsanrube"/>
        <s v="segpablo"/>
        <s v="sseraqui"/>
        <s v="aidelrio"/>
        <s v="anaruin"/>
        <s v="anouguiz"/>
        <s v="cocaquod"/>
        <s v="elkimart"/>
        <s v="kantongo"/>
        <s v="khaycmoh"/>
        <s v="lazarbal"/>
        <s v="lopezagr"/>
        <s v="lucibmar"/>
        <s v="moanadol"/>
        <s v="ualejmen"/>
        <s v="xgarciaz"/>
        <s v="abzianid"/>
        <s v="antogarw"/>
        <s v="banosrma"/>
        <s v="biengomb"/>
        <s v="dfralope"/>
        <s v="joanmaal"/>
        <s v="joscujip"/>
        <s v="mazmarin"/>
        <s v="sanandrb"/>
        <s v="souadnbe"/>
        <s v="xcoranto"/>
        <s v="joaqualf"/>
        <s v="perezojm"/>
        <s v="qraquepo"/>
        <s v="********"/>
        <s v="zmarmale"/>
        <s v="begonogu"/>
        <s v="carcampi"/>
        <s v="icaballj"/>
        <s v="kenddcau"/>
        <s v="lopezagr "/>
        <s v="lorpatrl"/>
        <s v="marrique"/>
        <s v="omariaeu"/>
        <s v="pablnico"/>
        <s v="ariaspal"/>
        <s v="canofema"/>
        <s v="canovlak"/>
        <s v="caparosc"/>
        <s v="fcarrima"/>
        <s v="kharmach"/>
        <s v="qcalison"/>
        <s v="rmerceji"/>
        <s v="zamoraib"/>
        <s v="amoyapad"/>
        <s v="ayazizih"/>
        <s v="banoanto"/>
        <s v="diespinf"/>
        <s v="eduapedv"/>
        <s v="hperezpr"/>
        <s v="iloremed"/>
        <s v="javdeloc"/>
        <s v="josejavw"/>
        <s v="josgodix"/>
        <s v="juafherm"/>
        <s v="rmartsau"/>
        <s v="tebasisa"/>
      </sharedItems>
    </cacheField>
    <cacheField name="Expected_task" numFmtId="0">
      <sharedItems count="30">
        <s v="RSP_Stow"/>
        <s v="IB_Decant"/>
        <s v="ICQA_Simple_Bin_Count"/>
        <s v="RSP_Q_Stow"/>
        <s v="IB_Dock_Admin_IM"/>
        <s v="IB_TR"/>
        <s v="RSP_Cart_Builder"/>
        <s v="IB_CorralChampion"/>
        <s v="IB_CM"/>
        <s v="IB_Jambuster"/>
        <s v="IB_IM"/>
        <s v="IB_Desapilar_Descargar"/>
        <s v="IB_Remove"/>
        <s v="IB_Pallet_Decant"/>
        <s v="RSP_Stow_Pallet"/>
        <s v="IB_Receive"/>
        <s v="IB_Pending_Prep"/>
        <s v="IB_Corral"/>
        <s v="RSP_Pick"/>
        <s v="OB_SM"/>
        <s v="IB_DOCK_OM"/>
        <s v="OB_CHUTING"/>
        <s v="RSP_AFM"/>
        <s v="IB_Omniscan"/>
        <s v="IB_POUT"/>
        <s v="OB_Tote_runner"/>
        <s v="IB_TT_RCV_SW"/>
        <s v="OB_P2R"/>
        <s v="SelectedIndirects"/>
        <s v="RSP_AFM_PG"/>
      </sharedItems>
    </cacheField>
    <cacheField name="Actual_task" numFmtId="0">
      <sharedItems count="36">
        <s v="IB_Omniscan"/>
        <s v="RSP_Stow"/>
        <s v="RSP_Q_Stow"/>
        <s v="IB_Decant"/>
        <s v="OB_Tote_runner"/>
        <s v="IB_POUT"/>
        <s v="IB_Receive"/>
        <s v="IB_Corral"/>
        <s v="RSP_Cart_Builder"/>
        <s v="IB_Desapilar_Descargar"/>
        <s v="IB_Prep"/>
        <s v="IB_CM"/>
        <s v="DOCK_BOX"/>
        <s v="IB_DOCK_GHO_v2"/>
        <s v="OB_SM"/>
        <s v="ICQA"/>
        <s v="OB_P2R"/>
        <s v="IB_Cubis"/>
        <s v="OB_WS"/>
        <s v="OTHERS_5S"/>
        <s v="RSP_Pick"/>
        <s v="OB_CHUTING"/>
        <s v="OB_FORMADO_DIRECTA"/>
        <s v="OTHERS_Engage"/>
        <s v="OB_SM2"/>
        <s v="DOCK_FLAT"/>
        <s v="DOCK_PROCUREMENT"/>
        <s v="DOCK_EBT"/>
        <s v="OB_PCNS1"/>
        <s v="RSP_PickPallet"/>
        <s v="IB_DOCK_OM"/>
        <s v="OB_GW"/>
        <s v="IB_Pallet_Decant"/>
        <s v="ICQA_Simple_Bin_Count"/>
        <s v="IB_Dock_Admin_IM"/>
        <s v="RSP_AFM"/>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Camara Manresa, Jose Javier" refreshedDate="45855.511119328701" backgroundQuery="1" createdVersion="7" refreshedVersion="7" minRefreshableVersion="3" recordCount="0" supportSubquery="1" supportAdvancedDrill="1" xr:uid="{EF7701DC-C35A-4EB5-BA3C-8B7A49C752FD}">
  <cacheSource type="external" connectionId="1"/>
  <cacheFields count="2">
    <cacheField name="[Range].[Expected_task].[Expected_task]" caption="Expected_task" numFmtId="0" hierarchy="1" level="1">
      <sharedItems count="30">
        <s v="IB_CM"/>
        <s v="IB_Corral"/>
        <s v="IB_CorralChampion"/>
        <s v="IB_Decant"/>
        <s v="IB_Desapilar_Descargar"/>
        <s v="IB_Dock_Admin_IM"/>
        <s v="IB_DOCK_OM"/>
        <s v="IB_IM"/>
        <s v="IB_Jambuster"/>
        <s v="IB_Omniscan"/>
        <s v="IB_Pallet_Decant"/>
        <s v="IB_Pending_Prep"/>
        <s v="IB_POUT"/>
        <s v="IB_Receive"/>
        <s v="IB_Remove"/>
        <s v="IB_TR"/>
        <s v="IB_TT_RCV_SW"/>
        <s v="ICQA_Simple_Bin_Count"/>
        <s v="OB_CHUTING"/>
        <s v="OB_P2R"/>
        <s v="OB_SM"/>
        <s v="OB_Tote_runner"/>
        <s v="RSP_AFM"/>
        <s v="RSP_AFM_PG"/>
        <s v="RSP_Cart_Builder"/>
        <s v="RSP_Pick"/>
        <s v="RSP_Q_Stow"/>
        <s v="RSP_Stow"/>
        <s v="RSP_Stow_Pallet"/>
        <s v="SelectedIndirects"/>
      </sharedItems>
    </cacheField>
    <cacheField name="[Measures].[Count of Expected_task]" caption="Count of Expected_task" numFmtId="0" hierarchy="5" level="32767"/>
  </cacheFields>
  <cacheHierarchies count="7">
    <cacheHierarchy uniqueName="[Range].[Login]" caption="Login" attribute="1" defaultMemberUniqueName="[Range].[Login].[All]" allUniqueName="[Range].[Login].[All]" dimensionUniqueName="[Range]" displayFolder="" count="0" memberValueDatatype="130" unbalanced="0"/>
    <cacheHierarchy uniqueName="[Range].[Expected_task]" caption="Expected_task" attribute="1" defaultMemberUniqueName="[Range].[Expected_task].[All]" allUniqueName="[Range].[Expected_task].[All]" dimensionUniqueName="[Range]" displayFolder="" count="2" memberValueDatatype="130" unbalanced="0">
      <fieldsUsage count="2">
        <fieldUsage x="-1"/>
        <fieldUsage x="0"/>
      </fieldsUsage>
    </cacheHierarchy>
    <cacheHierarchy uniqueName="[Range].[Actual_task]" caption="Actual_task" attribute="1" defaultMemberUniqueName="[Range].[Actual_task].[All]" allUniqueName="[Range].[Actual_task].[All]" dimensionUniqueName="[Range]" displayFolder="" count="2" memberValueDatatype="130" unbalanced="0"/>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Count of Expected_task]" caption="Count of Expected_task" measure="1" displayFolder="" measureGroup="Range" count="0" oneField="1" hidden="1">
      <fieldsUsage count="1">
        <fieldUsage x="1"/>
      </fieldsUsage>
      <extLst>
        <ext xmlns:x15="http://schemas.microsoft.com/office/spreadsheetml/2010/11/main" uri="{B97F6D7D-B522-45F9-BDA1-12C45D357490}">
          <x15:cacheHierarchy aggregatedColumn="1"/>
        </ext>
      </extLst>
    </cacheHierarchy>
    <cacheHierarchy uniqueName="[Measures].[Count of Actual_task]" caption="Count of Actual_task" measure="1" displayFolder="" measureGroup="Range" count="0" hidden="1">
      <extLst>
        <ext xmlns:x15="http://schemas.microsoft.com/office/spreadsheetml/2010/11/main" uri="{B97F6D7D-B522-45F9-BDA1-12C45D357490}">
          <x15:cacheHierarchy aggregatedColumn="2"/>
        </ext>
      </extLst>
    </cacheHierarchy>
  </cacheHierarchies>
  <kpis count="0"/>
  <dimensions count="2">
    <dimension measure="1" name="Measures" uniqueName="[Measures]" caption="Measures"/>
    <dimension name="Range" uniqueName="[Range]" caption="Range"/>
  </dimensions>
  <measureGroups count="1">
    <measureGroup name="Range" caption="Range"/>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34">
  <r>
    <x v="0"/>
    <n v="2.4830000000000001"/>
    <n v="334.69099999999997"/>
    <n v="0.19047619047619049"/>
    <n v="4.7295238095238103E-4"/>
    <x v="0"/>
  </r>
  <r>
    <x v="1"/>
    <n v="35.484999999999999"/>
    <n v="329.88900000000001"/>
    <n v="0.28748280605226961"/>
    <n v="1.0201327372764787E-2"/>
    <x v="1"/>
  </r>
  <r>
    <x v="2"/>
    <n v="6.9619999999999997"/>
    <n v="191.74199999999999"/>
    <n v="0.44594594594594589"/>
    <n v="3.1046756756756754E-3"/>
    <x v="2"/>
  </r>
  <r>
    <x v="3"/>
    <n v="38.878999999999998"/>
    <n v="261.24299999999999"/>
    <n v="0.25615314494074748"/>
    <n v="9.9589781221513206E-3"/>
    <x v="0"/>
  </r>
  <r>
    <x v="4"/>
    <n v="52.457000000000001"/>
    <n v="360.678"/>
    <n v="0.24258289703315877"/>
    <n v="1.2725171029668409E-2"/>
    <x v="0"/>
  </r>
  <r>
    <x v="5"/>
    <n v="3.2829999999999999"/>
    <n v="300.04500000000002"/>
    <n v="0.23364485981308411"/>
    <n v="7.6705607476635512E-4"/>
    <x v="0"/>
  </r>
  <r>
    <x v="6"/>
    <n v="4.7590000000000003"/>
    <n v="200.89099999999999"/>
    <n v="0.19642857142857142"/>
    <n v="9.3480357142857156E-4"/>
    <x v="3"/>
  </r>
  <r>
    <x v="7"/>
    <n v="8.7089999999999996"/>
    <n v="284.74700000000001"/>
    <n v="0.29946524064171126"/>
    <n v="2.6080427807486633E-3"/>
    <x v="1"/>
  </r>
  <r>
    <x v="8"/>
    <n v="2.6970000000000001"/>
    <n v="127.571"/>
    <n v="0.62"/>
    <n v="1.6721399999999999E-3"/>
    <x v="2"/>
  </r>
  <r>
    <x v="9"/>
    <n v="38.781999999999996"/>
    <n v="0.21095"/>
    <n v="0.36031042128603108"/>
    <n v="1.3973558758314858E-2"/>
    <x v="2"/>
  </r>
  <r>
    <x v="10"/>
    <n v="72.588999999999999"/>
    <n v="298.80399999999997"/>
    <n v="0.21639344262295082"/>
    <n v="1.5707783606557377E-2"/>
    <x v="0"/>
  </r>
  <r>
    <x v="11"/>
    <n v="18.596"/>
    <n v="211.65700000000001"/>
    <n v="0.2553763440860215"/>
    <n v="4.7489784946236563E-3"/>
    <x v="3"/>
  </r>
  <r>
    <x v="12"/>
    <n v="76.272000000000006"/>
    <n v="278.738"/>
    <n v="0.17492163009404391"/>
    <n v="1.3341622570532919E-2"/>
    <x v="0"/>
  </r>
  <r>
    <x v="13"/>
    <n v="6.8230000000000004"/>
    <n v="222.47200000000001"/>
    <n v="0.24186046511627909"/>
    <n v="1.6502139534883724E-3"/>
    <x v="3"/>
  </r>
  <r>
    <x v="14"/>
    <n v="4.3360000000000003"/>
    <n v="261.07799999999997"/>
    <n v="0.27536231884057971"/>
    <n v="1.1939710144927538E-3"/>
    <x v="1"/>
  </r>
  <r>
    <x v="15"/>
    <n v="36.588999999999999"/>
    <n v="367.65499999999997"/>
    <n v="0.12483221476510067"/>
    <n v="4.5674859060402685E-3"/>
    <x v="0"/>
  </r>
  <r>
    <x v="16"/>
    <n v="55.591999999999999"/>
    <n v="355.82499999999999"/>
    <n v="0.1407811080835604"/>
    <n v="7.8263033605812903E-3"/>
    <x v="0"/>
  </r>
  <r>
    <x v="17"/>
    <n v="25.114000000000001"/>
    <n v="250.46100000000001"/>
    <n v="0.28947368421052627"/>
    <n v="7.269842105263157E-3"/>
    <x v="1"/>
  </r>
  <r>
    <x v="18"/>
    <n v="5.9790000000000001"/>
    <n v="171.09899999999999"/>
    <n v="0.18666666666666668"/>
    <n v="1.11608E-3"/>
    <x v="3"/>
  </r>
  <r>
    <x v="19"/>
    <n v="28.914999999999999"/>
    <n v="338.50700000000001"/>
    <n v="6.2670299727520445E-2"/>
    <n v="1.8121117166212538E-3"/>
    <x v="0"/>
  </r>
  <r>
    <x v="20"/>
    <n v="65.183999999999997"/>
    <n v="284.149"/>
    <n v="0.24260355029585798"/>
    <n v="1.5813869822485206E-2"/>
    <x v="0"/>
  </r>
  <r>
    <x v="21"/>
    <n v="24.242999999999999"/>
    <n v="211.35900000000001"/>
    <n v="0.50887573964497035"/>
    <n v="1.2336674556213015E-2"/>
    <x v="2"/>
  </r>
  <r>
    <x v="22"/>
    <n v="30.216000000000001"/>
    <n v="246.82400000000001"/>
    <n v="0.15674362089914945"/>
    <n v="4.7361652490886998E-3"/>
    <x v="0"/>
  </r>
  <r>
    <x v="23"/>
    <n v="15.032"/>
    <n v="196.11099999999999"/>
    <n v="0.46312684365781709"/>
    <n v="6.9617227138643063E-3"/>
    <x v="2"/>
  </r>
  <r>
    <x v="24"/>
    <n v="67.965999999999994"/>
    <n v="275.875"/>
    <n v="0.26322839919624919"/>
    <n v="1.7890581379772272E-2"/>
    <x v="1"/>
  </r>
  <r>
    <x v="25"/>
    <n v="2.5870000000000001E-2"/>
    <n v="274.72500000000002"/>
    <n v="0.10642570281124497"/>
    <n v="2.7532329317269075E-6"/>
    <x v="0"/>
  </r>
  <r>
    <x v="26"/>
    <n v="5.9880000000000004"/>
    <n v="438.18400000000003"/>
    <n v="0"/>
    <n v="0"/>
    <x v="0"/>
  </r>
  <r>
    <x v="27"/>
    <n v="26.335000000000001"/>
    <n v="222.749"/>
    <n v="0.35727788279773154"/>
    <n v="9.4089130434782606E-3"/>
    <x v="2"/>
  </r>
  <r>
    <x v="28"/>
    <n v="63.292000000000002"/>
    <n v="294.00299999999999"/>
    <n v="0.10429799426934099"/>
    <n v="6.6012286532951296E-3"/>
    <x v="0"/>
  </r>
  <r>
    <x v="29"/>
    <n v="4.806"/>
    <n v="172.916"/>
    <n v="0.38157894736842102"/>
    <n v="1.8338684210526316E-3"/>
    <x v="2"/>
  </r>
  <r>
    <x v="30"/>
    <n v="7.2779999999999996"/>
    <n v="400.25299999999999"/>
    <n v="0.50199203187250996"/>
    <n v="3.6534980079681273E-3"/>
    <x v="1"/>
  </r>
  <r>
    <x v="31"/>
    <n v="6.6849999999999996"/>
    <n v="212.25399999999999"/>
    <n v="0.28205128205128205"/>
    <n v="1.8855128205128204E-3"/>
    <x v="2"/>
  </r>
  <r>
    <x v="32"/>
    <n v="62.405999999999999"/>
    <n v="353.95699999999999"/>
    <n v="0.27426160337552741"/>
    <n v="1.7115569620253162E-2"/>
    <x v="1"/>
  </r>
  <r>
    <x v="33"/>
    <n v="7.2149999999999999"/>
    <n v="222.17599999999999"/>
    <n v="0.20967741935483872"/>
    <n v="1.5128225806451613E-3"/>
    <x v="3"/>
  </r>
  <r>
    <x v="34"/>
    <n v="7.1300000000000001E-3"/>
    <n v="239.12200000000001"/>
    <n v="0.47"/>
    <n v="3.3510999999999996E-6"/>
    <x v="1"/>
  </r>
  <r>
    <x v="35"/>
    <n v="7.8730000000000002"/>
    <n v="0.34726000000000001"/>
    <n v="0"/>
    <n v="0"/>
    <x v="3"/>
  </r>
  <r>
    <x v="36"/>
    <n v="7.1639999999999997"/>
    <n v="0.19807"/>
    <n v="0.18699186991869921"/>
    <n v="1.3396097560975611E-3"/>
    <x v="3"/>
  </r>
  <r>
    <x v="37"/>
    <n v="1.65E-3"/>
    <n v="217.03299999999999"/>
    <n v="1"/>
    <n v="1.6500000000000001E-6"/>
    <x v="2"/>
  </r>
  <r>
    <x v="38"/>
    <n v="24.875"/>
    <n v="305.529"/>
    <n v="0.26426426426426425"/>
    <n v="6.5735735735735733E-3"/>
    <x v="1"/>
  </r>
  <r>
    <x v="39"/>
    <n v="7.1189999999999998"/>
    <n v="0.26744000000000001"/>
    <n v="0.16935483870967741"/>
    <n v="1.2056370967741933E-3"/>
    <x v="3"/>
  </r>
  <r>
    <x v="40"/>
    <n v="14.247"/>
    <n v="169.71899999999999"/>
    <n v="0.38423645320197047"/>
    <n v="5.4742167487684731E-3"/>
    <x v="2"/>
  </r>
  <r>
    <x v="41"/>
    <n v="7.6310000000000003E-2"/>
    <n v="338.43400000000003"/>
    <n v="0.18657298985167839"/>
    <n v="1.4237384855581578E-5"/>
    <x v="0"/>
  </r>
  <r>
    <x v="42"/>
    <n v="13.339"/>
    <n v="349.05900000000003"/>
    <n v="0.20189274447949529"/>
    <n v="2.693047318611988E-3"/>
    <x v="0"/>
  </r>
  <r>
    <x v="43"/>
    <n v="3.899"/>
    <n v="219.03899999999999"/>
    <n v="0.28865979381443302"/>
    <n v="1.1254845360824744E-3"/>
    <x v="2"/>
  </r>
  <r>
    <x v="44"/>
    <n v="14.101000000000001"/>
    <n v="0.23807"/>
    <n v="0.37047353760445684"/>
    <n v="5.2240473537604462E-3"/>
    <x v="2"/>
  </r>
  <r>
    <x v="45"/>
    <n v="1.6730000000000002E-2"/>
    <n v="263.89299999999997"/>
    <n v="0.17615658362989323"/>
    <n v="2.9470996441281138E-6"/>
    <x v="0"/>
  </r>
  <r>
    <x v="46"/>
    <n v="7.2530000000000001"/>
    <n v="258.916"/>
    <n v="7.407407407407407E-2"/>
    <n v="5.3725925925925924E-4"/>
    <x v="0"/>
  </r>
  <r>
    <x v="47"/>
    <n v="52.433999999999997"/>
    <n v="260.27100000000002"/>
    <n v="0.27554438860971525"/>
    <n v="1.4447894472361809E-2"/>
    <x v="1"/>
  </r>
  <r>
    <x v="48"/>
    <n v="64.006"/>
    <n v="277.02100000000002"/>
    <n v="0.19506597819850832"/>
    <n v="1.2485393000573724E-2"/>
    <x v="0"/>
  </r>
  <r>
    <x v="49"/>
    <n v="9.5239999999999991"/>
    <n v="329.07600000000002"/>
    <n v="0.12406015037593984"/>
    <n v="1.1815488721804511E-3"/>
    <x v="0"/>
  </r>
  <r>
    <x v="50"/>
    <n v="71.498999999999995"/>
    <n v="305.07900000000001"/>
    <n v="0.19910514541387025"/>
    <n v="1.4235818791946308E-2"/>
    <x v="0"/>
  </r>
  <r>
    <x v="51"/>
    <n v="7.298"/>
    <n v="233.61099999999999"/>
    <n v="0.41035856573705182"/>
    <n v="2.994796812749004E-3"/>
    <x v="2"/>
  </r>
  <r>
    <x v="52"/>
    <n v="7.1559999999999997"/>
    <n v="186.14500000000001"/>
    <n v="0.39086294416243655"/>
    <n v="2.7970152284263962E-3"/>
    <x v="2"/>
  </r>
  <r>
    <x v="53"/>
    <n v="59.451000000000001"/>
    <n v="335.66899999999998"/>
    <n v="0.12776176753121998"/>
    <n v="7.5955648414985592E-3"/>
    <x v="0"/>
  </r>
  <r>
    <x v="54"/>
    <n v="4.9619999999999997"/>
    <n v="264.21199999999999"/>
    <n v="0"/>
    <n v="0"/>
    <x v="0"/>
  </r>
  <r>
    <x v="55"/>
    <n v="32.151000000000003"/>
    <n v="419.92099999999999"/>
    <n v="0.18386491557223264"/>
    <n v="5.9114409005628522E-3"/>
    <x v="0"/>
  </r>
  <r>
    <x v="56"/>
    <n v="73.887"/>
    <n v="343.30700000000002"/>
    <n v="0.26111111111111113"/>
    <n v="1.9292716666666668E-2"/>
    <x v="1"/>
  </r>
  <r>
    <x v="57"/>
    <n v="7.0609999999999999"/>
    <n v="127.32599999999999"/>
    <n v="0.32038834951456313"/>
    <n v="2.2622621359223299E-3"/>
    <x v="2"/>
  </r>
  <r>
    <x v="58"/>
    <n v="61.835999999999999"/>
    <n v="212.38499999999999"/>
    <n v="0.27211343686698175"/>
    <n v="1.6826406482106683E-2"/>
    <x v="2"/>
  </r>
  <r>
    <x v="59"/>
    <n v="2.8660000000000001"/>
    <n v="187.352"/>
    <n v="0.44444444444444442"/>
    <n v="1.2737777777777778E-3"/>
    <x v="2"/>
  </r>
  <r>
    <x v="60"/>
    <n v="48.786000000000001"/>
    <n v="0.31963999999999998"/>
    <n v="0.16016427104722794"/>
    <n v="7.8137741273100626E-3"/>
    <x v="3"/>
  </r>
  <r>
    <x v="61"/>
    <n v="43.651000000000003"/>
    <n v="281.09199999999998"/>
    <n v="0.21306376360808713"/>
    <n v="9.3004463452566119E-3"/>
    <x v="0"/>
  </r>
  <r>
    <x v="62"/>
    <n v="59.802999999999997"/>
    <n v="0.24165999999999999"/>
    <n v="0.12252663622526637"/>
    <n v="7.3274604261796038E-3"/>
    <x v="3"/>
  </r>
  <r>
    <x v="63"/>
    <n v="22.998000000000001"/>
    <n v="291.28300000000002"/>
    <n v="0.19968051118210864"/>
    <n v="4.5922523961661344E-3"/>
    <x v="0"/>
  </r>
  <r>
    <x v="64"/>
    <n v="42.112000000000002"/>
    <n v="251.023"/>
    <n v="0.19103773584905662"/>
    <n v="8.0449811320754717E-3"/>
    <x v="0"/>
  </r>
  <r>
    <x v="65"/>
    <n v="31.696999999999999"/>
    <n v="438.62099999999998"/>
    <n v="0.25125628140703521"/>
    <n v="7.9640703517587941E-3"/>
    <x v="0"/>
  </r>
  <r>
    <x v="66"/>
    <n v="7.1399999999999996E-3"/>
    <n v="201.131"/>
    <n v="0.12727272727272726"/>
    <n v="9.0872727272727267E-7"/>
    <x v="3"/>
  </r>
  <r>
    <x v="67"/>
    <n v="3.3189999999999997E-2"/>
    <n v="326.02699999999999"/>
    <n v="0.55493630573248398"/>
    <n v="1.8418335987261141E-5"/>
    <x v="1"/>
  </r>
  <r>
    <x v="68"/>
    <n v="6.8970000000000002"/>
    <n v="229.37899999999999"/>
    <n v="0.27456647398843931"/>
    <n v="1.8936849710982659E-3"/>
    <x v="2"/>
  </r>
  <r>
    <x v="69"/>
    <n v="56.698999999999998"/>
    <n v="218.416"/>
    <n v="0.19002822201317027"/>
    <n v="1.0774410159924742E-2"/>
    <x v="3"/>
  </r>
  <r>
    <x v="70"/>
    <n v="69.650999999999996"/>
    <n v="195.20099999999999"/>
    <n v="0.21775147928994085"/>
    <n v="1.5166608284023669E-2"/>
    <x v="3"/>
  </r>
  <r>
    <x v="71"/>
    <n v="57.405999999999999"/>
    <n v="349.65300000000002"/>
    <n v="0.32615384615384618"/>
    <n v="1.8723187692307693E-2"/>
    <x v="1"/>
  </r>
  <r>
    <x v="72"/>
    <n v="20.664000000000001"/>
    <n v="397.94400000000002"/>
    <n v="5.080213903743315E-2"/>
    <n v="1.0497754010695187E-3"/>
    <x v="0"/>
  </r>
  <r>
    <x v="73"/>
    <n v="29.704999999999998"/>
    <n v="255.57900000000001"/>
    <n v="0.37914691943127965"/>
    <n v="1.1262559241706162E-2"/>
    <x v="1"/>
  </r>
  <r>
    <x v="74"/>
    <n v="41.930999999999997"/>
    <n v="269.392"/>
    <n v="0.39786223277909738"/>
    <n v="1.668276128266033E-2"/>
    <x v="1"/>
  </r>
  <r>
    <x v="75"/>
    <n v="2.7280000000000002"/>
    <n v="0.12021999999999999"/>
    <n v="0.32467532467532467"/>
    <n v="8.8571428571428579E-4"/>
    <x v="2"/>
  </r>
  <r>
    <x v="76"/>
    <n v="15.115"/>
    <n v="215.947"/>
    <n v="0.47252747252747257"/>
    <n v="7.1422527472527475E-3"/>
    <x v="2"/>
  </r>
  <r>
    <x v="77"/>
    <n v="24.574000000000002"/>
    <n v="295.56099999999998"/>
    <n v="0.29047619047619044"/>
    <n v="7.1381619047619048E-3"/>
    <x v="1"/>
  </r>
  <r>
    <x v="78"/>
    <n v="69.471999999999994"/>
    <n v="273.40699999999998"/>
    <n v="0.27187948350071739"/>
    <n v="1.8888011477761837E-2"/>
    <x v="1"/>
  </r>
  <r>
    <x v="79"/>
    <n v="47.347999999999999"/>
    <n v="330.51100000000002"/>
    <n v="0.17200674536256325"/>
    <n v="8.1441753794266429E-3"/>
    <x v="0"/>
  </r>
  <r>
    <x v="80"/>
    <n v="4.2720000000000002"/>
    <n v="459.99400000000003"/>
    <n v="0.38805970149253732"/>
    <n v="1.6577910447761195E-3"/>
    <x v="1"/>
  </r>
  <r>
    <x v="81"/>
    <n v="56.713999999999999"/>
    <n v="263.62099999999998"/>
    <n v="0.22347826086956521"/>
    <n v="1.2674346086956521E-2"/>
    <x v="0"/>
  </r>
  <r>
    <x v="82"/>
    <n v="5.3369999999999997"/>
    <n v="255.92699999999999"/>
    <n v="0.28658536585365851"/>
    <n v="1.5295060975609753E-3"/>
    <x v="1"/>
  </r>
  <r>
    <x v="83"/>
    <n v="4.6479999999999997"/>
    <n v="169.303"/>
    <n v="0.16981132075471697"/>
    <n v="7.8928301886792437E-4"/>
    <x v="3"/>
  </r>
  <r>
    <x v="84"/>
    <n v="7.0620000000000003"/>
    <n v="156.75700000000001"/>
    <n v="0.36480686695278969"/>
    <n v="2.5762660944206009E-3"/>
    <x v="2"/>
  </r>
  <r>
    <x v="85"/>
    <n v="2.07E-2"/>
    <n v="414.017"/>
    <n v="0.200354609929078"/>
    <n v="4.1473404255319143E-6"/>
    <x v="0"/>
  </r>
  <r>
    <x v="86"/>
    <n v="49.607999999999997"/>
    <n v="277.13400000000001"/>
    <n v="0.23970290344361916"/>
    <n v="1.1891181634031057E-2"/>
    <x v="0"/>
  </r>
  <r>
    <x v="87"/>
    <n v="10.585000000000001"/>
    <n v="211.42699999999999"/>
    <n v="0.7080394922425951"/>
    <n v="7.4945980253878696E-3"/>
    <x v="2"/>
  </r>
  <r>
    <x v="88"/>
    <n v="57.875"/>
    <n v="268.97699999999998"/>
    <n v="0.25247524752475248"/>
    <n v="1.461200495049505E-2"/>
    <x v="0"/>
  </r>
  <r>
    <x v="89"/>
    <n v="23.234000000000002"/>
    <n v="256.26600000000002"/>
    <n v="0.31967213114754101"/>
    <n v="7.4272622950819689E-3"/>
    <x v="1"/>
  </r>
  <r>
    <x v="90"/>
    <n v="4.4089999999999998"/>
    <n v="225.01300000000001"/>
    <n v="0.26315789473684209"/>
    <n v="1.1602631578947367E-3"/>
    <x v="2"/>
  </r>
  <r>
    <x v="91"/>
    <n v="5.859"/>
    <n v="0.22991"/>
    <n v="0.28688524590163933"/>
    <n v="1.6808606557377048E-3"/>
    <x v="2"/>
  </r>
  <r>
    <x v="92"/>
    <n v="47.305999999999997"/>
    <n v="330.44400000000002"/>
    <n v="0.19578686493184635"/>
    <n v="9.2618934324659227E-3"/>
    <x v="0"/>
  </r>
  <r>
    <x v="93"/>
    <n v="10.417"/>
    <n v="0.24105000000000001"/>
    <n v="0.34567901234567905"/>
    <n v="3.6009382716049388E-3"/>
    <x v="2"/>
  </r>
  <r>
    <x v="94"/>
    <n v="5.0900000000000001E-2"/>
    <n v="280.88200000000001"/>
    <n v="0.19288256227758005"/>
    <n v="9.817722419928826E-6"/>
    <x v="0"/>
  </r>
  <r>
    <x v="95"/>
    <n v="30.405000000000001"/>
    <n v="221.90199999999999"/>
    <n v="0.30154277699859749"/>
    <n v="9.1684081346423574E-3"/>
    <x v="2"/>
  </r>
  <r>
    <x v="96"/>
    <n v="3.778"/>
    <n v="248.797"/>
    <n v="0.39622641509433959"/>
    <n v="1.4969433962264149E-3"/>
    <x v="1"/>
  </r>
  <r>
    <x v="97"/>
    <n v="7.0880000000000001"/>
    <n v="162.114"/>
    <n v="0.18120805369127518"/>
    <n v="1.2844026845637586E-3"/>
    <x v="3"/>
  </r>
  <r>
    <x v="98"/>
    <n v="52.645000000000003"/>
    <n v="286.88400000000001"/>
    <n v="0.38552540013917885"/>
    <n v="2.0295984690327069E-2"/>
    <x v="1"/>
  </r>
  <r>
    <x v="99"/>
    <n v="9.3819999999999997"/>
    <n v="227.77799999999999"/>
    <n v="0.15384615384615385"/>
    <n v="1.4433846153846155E-3"/>
    <x v="3"/>
  </r>
  <r>
    <x v="100"/>
    <n v="4.9660000000000002"/>
    <n v="119.011"/>
    <n v="0.4678899082568807"/>
    <n v="2.3235412844036696E-3"/>
    <x v="2"/>
  </r>
  <r>
    <x v="101"/>
    <n v="4.9409999999999998"/>
    <n v="309.24900000000002"/>
    <n v="0.37083333333333335"/>
    <n v="1.8322875000000001E-3"/>
    <x v="1"/>
  </r>
  <r>
    <x v="102"/>
    <n v="57.393999999999998"/>
    <n v="356.09699999999998"/>
    <n v="0.32284040995607616"/>
    <n v="1.8529102489019036E-2"/>
    <x v="1"/>
  </r>
  <r>
    <x v="103"/>
    <n v="13.355"/>
    <n v="207.26599999999999"/>
    <n v="0.35483870967741937"/>
    <n v="4.7388709677419361E-3"/>
    <x v="2"/>
  </r>
  <r>
    <x v="104"/>
    <n v="7.77E-3"/>
    <n v="427.52699999999999"/>
    <n v="6.0240963855421693E-2"/>
    <n v="4.6807228915662658E-7"/>
    <x v="0"/>
  </r>
  <r>
    <x v="105"/>
    <n v="61.512999999999998"/>
    <n v="311.23500000000001"/>
    <n v="0.19502407704654895"/>
    <n v="1.1996516051364365E-2"/>
    <x v="0"/>
  </r>
  <r>
    <x v="106"/>
    <n v="17.161000000000001"/>
    <n v="278.71100000000001"/>
    <n v="8.9285714285714288E-2"/>
    <n v="1.5322321428571431E-3"/>
    <x v="0"/>
  </r>
  <r>
    <x v="107"/>
    <n v="66.888999999999996"/>
    <n v="288.435"/>
    <n v="0.24223946784922396"/>
    <n v="1.620315576496674E-2"/>
    <x v="0"/>
  </r>
  <r>
    <x v="108"/>
    <n v="42.341999999999999"/>
    <n v="264.18200000000002"/>
    <n v="0.26791808873720135"/>
    <n v="1.1344187713310579E-2"/>
    <x v="1"/>
  </r>
  <r>
    <x v="109"/>
    <n v="5.4779999999999998"/>
    <n v="219.59700000000001"/>
    <n v="0.25698324022346369"/>
    <n v="1.4077541899441342E-3"/>
    <x v="2"/>
  </r>
  <r>
    <x v="110"/>
    <n v="34.206000000000003"/>
    <n v="241.35900000000001"/>
    <n v="0.10289389067524117"/>
    <n v="3.5195884244372997E-3"/>
    <x v="0"/>
  </r>
  <r>
    <x v="111"/>
    <n v="18.635000000000002"/>
    <n v="284.13900000000001"/>
    <n v="0.26956521739130435"/>
    <n v="5.0233478260869576E-3"/>
    <x v="1"/>
  </r>
  <r>
    <x v="112"/>
    <n v="15.903"/>
    <n v="354.19900000000001"/>
    <n v="0.39699570815450647"/>
    <n v="6.3134227467811161E-3"/>
    <x v="1"/>
  </r>
  <r>
    <x v="113"/>
    <n v="30.402000000000001"/>
    <n v="287.15699999999998"/>
    <n v="0.25149700598802399"/>
    <n v="7.6460119760479051E-3"/>
    <x v="0"/>
  </r>
  <r>
    <x v="114"/>
    <n v="37.412999999999997"/>
    <n v="322.19099999999997"/>
    <n v="0.15483119906868453"/>
    <n v="5.7926996507566934E-3"/>
    <x v="0"/>
  </r>
  <r>
    <x v="115"/>
    <n v="5.3550000000000004"/>
    <n v="201.12899999999999"/>
    <n v="3.7499999999999999E-2"/>
    <n v="2.0081250000000001E-4"/>
    <x v="3"/>
  </r>
  <r>
    <x v="116"/>
    <n v="6.9349999999999996"/>
    <n v="140.297"/>
    <n v="0.25257731958762886"/>
    <n v="1.751623711340206E-3"/>
    <x v="3"/>
  </r>
  <r>
    <x v="117"/>
    <n v="7.1459999999999999"/>
    <n v="0.29149999999999998"/>
    <n v="0.06"/>
    <n v="4.2875999999999998E-4"/>
    <x v="3"/>
  </r>
  <r>
    <x v="118"/>
    <n v="26.567"/>
    <n v="355.28899999999999"/>
    <n v="0.18337408312958436"/>
    <n v="4.8716992665036674E-3"/>
    <x v="0"/>
  </r>
  <r>
    <x v="119"/>
    <n v="75.498999999999995"/>
    <n v="274.29500000000002"/>
    <n v="0.30441478439425051"/>
    <n v="2.2983011806981521E-2"/>
    <x v="1"/>
  </r>
  <r>
    <x v="120"/>
    <n v="2.9569999999999999"/>
    <n v="173.51499999999999"/>
    <n v="0.61627906976744196"/>
    <n v="1.8223372093023257E-3"/>
    <x v="2"/>
  </r>
  <r>
    <x v="121"/>
    <n v="6.726"/>
    <n v="217.077"/>
    <n v="0.14545454545454545"/>
    <n v="9.7832727272727281E-4"/>
    <x v="3"/>
  </r>
  <r>
    <x v="122"/>
    <n v="14.348000000000001"/>
    <n v="273.06099999999998"/>
    <n v="0.19285714285714289"/>
    <n v="2.7671142857142862E-3"/>
    <x v="0"/>
  </r>
  <r>
    <x v="123"/>
    <n v="66.153999999999996"/>
    <n v="329.702"/>
    <n v="0.21223021582733814"/>
    <n v="1.4039877697841726E-2"/>
    <x v="0"/>
  </r>
  <r>
    <x v="124"/>
    <n v="24.236000000000001"/>
    <n v="0.30867"/>
    <n v="0.18202764976958527"/>
    <n v="4.4116221198156691E-3"/>
    <x v="3"/>
  </r>
  <r>
    <x v="125"/>
    <n v="60.256"/>
    <n v="188.11500000000001"/>
    <n v="0.23474178403755869"/>
    <n v="1.4144600938967135E-2"/>
    <x v="3"/>
  </r>
  <r>
    <x v="126"/>
    <n v="2.6840000000000002"/>
    <n v="167.28100000000001"/>
    <n v="0.33333333333333337"/>
    <n v="8.9466666666666687E-4"/>
    <x v="2"/>
  </r>
  <r>
    <x v="127"/>
    <n v="7.1029999999999998"/>
    <n v="304.52499999999998"/>
    <n v="0.19886363636363635"/>
    <n v="1.4125284090909089E-3"/>
    <x v="0"/>
  </r>
  <r>
    <x v="128"/>
    <n v="17.361999999999998"/>
    <n v="311.60599999999999"/>
    <n v="0.3966480446927374"/>
    <n v="6.8866033519553059E-3"/>
    <x v="1"/>
  </r>
  <r>
    <x v="129"/>
    <n v="76.088999999999999"/>
    <n v="200.595"/>
    <n v="0.189556135770235"/>
    <n v="1.4423136814621412E-2"/>
    <x v="3"/>
  </r>
  <r>
    <x v="130"/>
    <n v="37.652000000000001"/>
    <n v="0.16262000000000001"/>
    <n v="0.23852183650615902"/>
    <n v="8.9808241881298989E-3"/>
    <x v="3"/>
  </r>
  <r>
    <x v="131"/>
    <n v="41.268999999999998"/>
    <n v="273.32600000000002"/>
    <n v="0.48766603415559773"/>
    <n v="2.0125489563567363E-2"/>
    <x v="1"/>
  </r>
  <r>
    <x v="132"/>
    <n v="2.6459999999999999"/>
    <n v="179.53200000000001"/>
    <n v="0.30232558139534887"/>
    <n v="7.9995348837209315E-4"/>
    <x v="2"/>
  </r>
  <r>
    <x v="133"/>
    <n v="3.0070000000000001"/>
    <n v="228.81100000000001"/>
    <n v="0.13043478260869565"/>
    <n v="3.9221739130434785E-4"/>
    <x v="3"/>
  </r>
  <r>
    <x v="134"/>
    <n v="77.272000000000006"/>
    <n v="275.67599999999999"/>
    <n v="0.10736721873215303"/>
    <n v="8.29647972587093E-3"/>
    <x v="0"/>
  </r>
  <r>
    <x v="135"/>
    <n v="7.3639999999999999"/>
    <n v="294.666"/>
    <n v="0.34375"/>
    <n v="2.5313750000000002E-3"/>
    <x v="1"/>
  </r>
  <r>
    <x v="136"/>
    <n v="3.3069999999999999"/>
    <n v="251.923"/>
    <n v="0.13636363636363635"/>
    <n v="4.509545454545454E-4"/>
    <x v="0"/>
  </r>
  <r>
    <x v="137"/>
    <n v="9.9979999999999993"/>
    <n v="308.14699999999999"/>
    <n v="0.15137614678899083"/>
    <n v="1.5134587155963301E-3"/>
    <x v="0"/>
  </r>
  <r>
    <x v="138"/>
    <n v="4.3220000000000001E-2"/>
    <n v="270.54599999999999"/>
    <n v="0.19043887147335425"/>
    <n v="8.2307680250783704E-6"/>
    <x v="0"/>
  </r>
  <r>
    <x v="139"/>
    <n v="28.324999999999999"/>
    <n v="256.38299999999998"/>
    <n v="0.40657084188911702"/>
    <n v="1.151611909650924E-2"/>
    <x v="1"/>
  </r>
  <r>
    <x v="140"/>
    <n v="20.541"/>
    <n v="0.23826"/>
    <n v="0.39303482587064681"/>
    <n v="8.0733283582089567E-3"/>
    <x v="2"/>
  </r>
  <r>
    <x v="141"/>
    <n v="10.086"/>
    <n v="347.32400000000001"/>
    <n v="0.22619047619047619"/>
    <n v="2.2813571428571427E-3"/>
    <x v="0"/>
  </r>
  <r>
    <x v="142"/>
    <n v="49.087000000000003"/>
    <n v="231.81299999999999"/>
    <n v="0.20907297830374752"/>
    <n v="1.0262765285996055E-2"/>
    <x v="3"/>
  </r>
  <r>
    <x v="143"/>
    <n v="5.181"/>
    <n v="102.68300000000001"/>
    <n v="0.31874999999999998"/>
    <n v="1.6514437499999999E-3"/>
    <x v="2"/>
  </r>
  <r>
    <x v="144"/>
    <n v="16.817"/>
    <n v="369.14400000000001"/>
    <n v="0.145985401459854"/>
    <n v="2.4550364963503647E-3"/>
    <x v="0"/>
  </r>
  <r>
    <x v="145"/>
    <n v="4.1150000000000002"/>
    <n v="187.839"/>
    <n v="0.16867469879518074"/>
    <n v="6.9409638554216878E-4"/>
    <x v="3"/>
  </r>
  <r>
    <x v="146"/>
    <n v="79.638999999999996"/>
    <n v="268.161"/>
    <n v="0.23513658275307978"/>
    <n v="1.872604231387252E-2"/>
    <x v="0"/>
  </r>
  <r>
    <x v="147"/>
    <n v="65.619"/>
    <n v="264.26900000000001"/>
    <n v="0.24505928853754941"/>
    <n v="1.6080545454545455E-2"/>
    <x v="0"/>
  </r>
  <r>
    <x v="148"/>
    <n v="9.2550000000000008"/>
    <n v="221.94200000000001"/>
    <n v="0.67804878048780493"/>
    <n v="6.275341463414635E-3"/>
    <x v="2"/>
  </r>
  <r>
    <x v="149"/>
    <n v="2.5539999999999998"/>
    <n v="306.96100000000001"/>
    <n v="0.44"/>
    <n v="1.1237599999999999E-3"/>
    <x v="1"/>
  </r>
  <r>
    <x v="150"/>
    <n v="66.268000000000001"/>
    <n v="310.86099999999999"/>
    <n v="0.24320987654320989"/>
    <n v="1.611703209876543E-2"/>
    <x v="0"/>
  </r>
  <r>
    <x v="151"/>
    <n v="49.904000000000003"/>
    <n v="394.53399999999999"/>
    <n v="0.10429447852760736"/>
    <n v="5.2047116564417177E-3"/>
    <x v="0"/>
  </r>
  <r>
    <x v="152"/>
    <n v="36.155999999999999"/>
    <n v="0.29619000000000001"/>
    <n v="0.1879815100154083"/>
    <n v="6.7966594761171024E-3"/>
    <x v="3"/>
  </r>
  <r>
    <x v="153"/>
    <n v="50.798000000000002"/>
    <n v="213.25700000000001"/>
    <n v="0.51142225497420779"/>
    <n v="2.5979227708179811E-2"/>
    <x v="2"/>
  </r>
  <r>
    <x v="154"/>
    <n v="19.227"/>
    <n v="398.92899999999997"/>
    <n v="0.21632653061224488"/>
    <n v="4.1593102040816321E-3"/>
    <x v="0"/>
  </r>
  <r>
    <x v="155"/>
    <n v="23.823"/>
    <n v="304.12099999999998"/>
    <n v="0.3"/>
    <n v="7.1468999999999994E-3"/>
    <x v="1"/>
  </r>
  <r>
    <x v="156"/>
    <n v="4.3810000000000002"/>
    <n v="339.85899999999998"/>
    <n v="0.22222222222222224"/>
    <n v="9.7355555555555563E-4"/>
    <x v="0"/>
  </r>
  <r>
    <x v="157"/>
    <n v="24.495999999999999"/>
    <n v="240.08199999999999"/>
    <n v="0.15722120658135283"/>
    <n v="3.8512906764168187E-3"/>
    <x v="0"/>
  </r>
  <r>
    <x v="158"/>
    <n v="7.7220000000000004"/>
    <n v="432.91300000000001"/>
    <n v="0.22510822510822512"/>
    <n v="1.7382857142857143E-3"/>
    <x v="0"/>
  </r>
  <r>
    <x v="159"/>
    <n v="58.037999999999997"/>
    <n v="231.399"/>
    <n v="0.16122004357298478"/>
    <n v="9.3568888888888885E-3"/>
    <x v="3"/>
  </r>
  <r>
    <x v="160"/>
    <n v="48.484999999999999"/>
    <n v="317.45800000000003"/>
    <n v="0.24095458044649729"/>
    <n v="1.1682682832948422E-2"/>
    <x v="0"/>
  </r>
  <r>
    <x v="161"/>
    <n v="17.295999999999999"/>
    <n v="249.18700000000001"/>
    <n v="0.3779904306220096"/>
    <n v="6.5377224880382775E-3"/>
    <x v="1"/>
  </r>
  <r>
    <x v="162"/>
    <n v="2.8030000000000003E-2"/>
    <n v="287.48099999999999"/>
    <n v="0.16856492027334852"/>
    <n v="4.7248747152619595E-6"/>
    <x v="0"/>
  </r>
  <r>
    <x v="163"/>
    <n v="7.1500000000000001E-3"/>
    <n v="200.14599999999999"/>
    <n v="0.2445141065830721"/>
    <n v="1.7482758620689656E-6"/>
    <x v="3"/>
  </r>
  <r>
    <x v="164"/>
    <n v="11.473000000000001"/>
    <n v="271.33800000000002"/>
    <n v="0.21276595744680854"/>
    <n v="2.4410638297872348E-3"/>
    <x v="0"/>
  </r>
  <r>
    <x v="165"/>
    <n v="7.2119999999999997"/>
    <n v="276.07100000000003"/>
    <n v="0.17557251908396945"/>
    <n v="1.2662290076335876E-3"/>
    <x v="0"/>
  </r>
  <r>
    <x v="166"/>
    <n v="68.835999999999999"/>
    <n v="293.23200000000003"/>
    <n v="0.18822674418604651"/>
    <n v="1.2956776162790697E-2"/>
    <x v="0"/>
  </r>
  <r>
    <x v="167"/>
    <n v="6.4859999999999998"/>
    <n v="150.476"/>
    <n v="0.4865900383141763"/>
    <n v="3.156022988505747E-3"/>
    <x v="2"/>
  </r>
  <r>
    <x v="168"/>
    <n v="18.614999999999998"/>
    <n v="0.22283"/>
    <n v="0.2857142857142857"/>
    <n v="5.3185714285714277E-3"/>
    <x v="2"/>
  </r>
  <r>
    <x v="169"/>
    <n v="58.231999999999999"/>
    <n v="284.226"/>
    <n v="0.1040268456375839"/>
    <n v="6.0576912751677857E-3"/>
    <x v="0"/>
  </r>
  <r>
    <x v="170"/>
    <n v="38.302"/>
    <n v="347.11399999999998"/>
    <n v="0.14384748700173311"/>
    <n v="5.509646447140382E-3"/>
    <x v="0"/>
  </r>
  <r>
    <x v="171"/>
    <n v="25.861999999999998"/>
    <n v="264.09199999999998"/>
    <n v="0.14143094841930118"/>
    <n v="3.657687188019967E-3"/>
    <x v="0"/>
  </r>
  <r>
    <x v="172"/>
    <n v="6.9470000000000001"/>
    <n v="254.64599999999999"/>
    <n v="0.20224719101123595"/>
    <n v="1.4050112359550561E-3"/>
    <x v="0"/>
  </r>
  <r>
    <x v="173"/>
    <n v="14.597"/>
    <n v="178.12100000000001"/>
    <n v="0.29621848739495799"/>
    <n v="4.3239012605042013E-3"/>
    <x v="2"/>
  </r>
  <r>
    <x v="174"/>
    <n v="5.2409999999999997"/>
    <n v="0.22131999999999999"/>
    <n v="0.30810810810810807"/>
    <n v="1.6147945945945944E-3"/>
    <x v="2"/>
  </r>
  <r>
    <x v="175"/>
    <n v="4.2140000000000004"/>
    <n v="194.80699999999999"/>
    <n v="0.47115384615384615"/>
    <n v="1.9854423076923079E-3"/>
    <x v="2"/>
  </r>
  <r>
    <x v="176"/>
    <n v="12.340999999999999"/>
    <n v="137.351"/>
    <n v="0.39732142857142855"/>
    <n v="4.9033437499999997E-3"/>
    <x v="2"/>
  </r>
  <r>
    <x v="177"/>
    <n v="16.971"/>
    <n v="276.83300000000003"/>
    <n v="0.49352750809061491"/>
    <n v="8.3756553398058268E-3"/>
    <x v="1"/>
  </r>
  <r>
    <x v="178"/>
    <n v="2.7130000000000001"/>
    <n v="0.12570999999999999"/>
    <n v="0.59574468085106391"/>
    <n v="1.6162553191489365E-3"/>
    <x v="2"/>
  </r>
  <r>
    <x v="179"/>
    <n v="2.7899999999999999E-3"/>
    <n v="112.89400000000001"/>
    <n v="0.25"/>
    <n v="6.9749999999999999E-7"/>
    <x v="3"/>
  </r>
  <r>
    <x v="180"/>
    <n v="23.529"/>
    <n v="275.36200000000002"/>
    <n v="0.28360413589364847"/>
    <n v="6.6729217134416548E-3"/>
    <x v="1"/>
  </r>
  <r>
    <x v="181"/>
    <n v="44.704999999999998"/>
    <n v="334.39499999999998"/>
    <n v="0.14365671641791045"/>
    <n v="6.4221735074626862E-3"/>
    <x v="0"/>
  </r>
  <r>
    <x v="182"/>
    <n v="7.3630000000000004"/>
    <n v="0.28874"/>
    <n v="0.28703703703703703"/>
    <n v="2.1134537037037042E-3"/>
    <x v="2"/>
  </r>
  <r>
    <x v="183"/>
    <n v="8.0350000000000001"/>
    <n v="254.63200000000001"/>
    <n v="9.0909090909090912E-2"/>
    <n v="7.3045454545454542E-4"/>
    <x v="0"/>
  </r>
  <r>
    <x v="184"/>
    <n v="1.486E-2"/>
    <n v="324.23399999999998"/>
    <n v="9.2909535452322736E-2"/>
    <n v="1.3806356968215159E-6"/>
    <x v="0"/>
  </r>
  <r>
    <x v="185"/>
    <n v="14.026999999999999"/>
    <n v="195.18899999999999"/>
    <n v="0.3129973474801061"/>
    <n v="4.3904137931034485E-3"/>
    <x v="2"/>
  </r>
  <r>
    <x v="186"/>
    <n v="6.0469999999999996E-2"/>
    <n v="268.43099999999998"/>
    <n v="0.20115774240231546"/>
    <n v="1.2164008683068015E-5"/>
    <x v="0"/>
  </r>
  <r>
    <x v="187"/>
    <n v="25.745999999999999"/>
    <n v="401.26299999999998"/>
    <n v="0.21649484536082475"/>
    <n v="5.5738762886597942E-3"/>
    <x v="0"/>
  </r>
  <r>
    <x v="188"/>
    <n v="5.1719999999999997"/>
    <n v="178.85900000000001"/>
    <n v="0.53164556962025311"/>
    <n v="2.7496708860759492E-3"/>
    <x v="2"/>
  </r>
  <r>
    <x v="189"/>
    <n v="20.263999999999999"/>
    <n v="268.60599999999999"/>
    <n v="0.27086882453151617"/>
    <n v="5.4888858603066434E-3"/>
    <x v="1"/>
  </r>
  <r>
    <x v="190"/>
    <n v="2.8820000000000001"/>
    <n v="122.133"/>
    <n v="0.26923076923076927"/>
    <n v="7.7592307692307704E-4"/>
    <x v="2"/>
  </r>
  <r>
    <x v="191"/>
    <n v="58.262999999999998"/>
    <n v="226.285"/>
    <n v="0.29884225759768451"/>
    <n v="1.7411446454413892E-2"/>
    <x v="2"/>
  </r>
  <r>
    <x v="192"/>
    <n v="10.196"/>
    <n v="331.21899999999999"/>
    <n v="0.29166666666666663"/>
    <n v="2.9738333333333327E-3"/>
    <x v="1"/>
  </r>
  <r>
    <x v="193"/>
    <n v="48.972999999999999"/>
    <n v="267.28800000000001"/>
    <n v="0.31541218637992835"/>
    <n v="1.5446681003584232E-2"/>
    <x v="1"/>
  </r>
  <r>
    <x v="194"/>
    <n v="6.79E-3"/>
    <n v="344.904"/>
    <n v="0.19554455445544555"/>
    <n v="1.3277475247524751E-6"/>
    <x v="0"/>
  </r>
  <r>
    <x v="195"/>
    <n v="25.245000000000001"/>
    <n v="240.566"/>
    <n v="0.21499013806706116"/>
    <n v="5.427426035502959E-3"/>
    <x v="0"/>
  </r>
  <r>
    <x v="196"/>
    <n v="65.084999999999994"/>
    <n v="379.96300000000002"/>
    <n v="0.19219653179190752"/>
    <n v="1.2509111271676299E-2"/>
    <x v="0"/>
  </r>
  <r>
    <x v="197"/>
    <n v="69.299000000000007"/>
    <n v="254.476"/>
    <n v="0.18159408381265407"/>
    <n v="1.2584288414133116E-2"/>
    <x v="0"/>
  </r>
  <r>
    <x v="198"/>
    <n v="10.087999999999999"/>
    <n v="259.51600000000002"/>
    <n v="0.2137404580152672"/>
    <n v="2.1562137404580154E-3"/>
    <x v="0"/>
  </r>
  <r>
    <x v="199"/>
    <n v="21.366"/>
    <n v="202.328"/>
    <n v="0.1371308016877637"/>
    <n v="2.9299367088607589E-3"/>
    <x v="3"/>
  </r>
  <r>
    <x v="200"/>
    <n v="6.5970000000000004"/>
    <n v="144.46700000000001"/>
    <n v="0.52534562211981561"/>
    <n v="3.465705069124424E-3"/>
    <x v="2"/>
  </r>
  <r>
    <x v="201"/>
    <n v="22.634"/>
    <n v="208.535"/>
    <n v="0.22"/>
    <n v="4.9794799999999997E-3"/>
    <x v="3"/>
  </r>
  <r>
    <x v="202"/>
    <n v="8.77E-3"/>
    <n v="246.75200000000001"/>
    <n v="0.41017964071856294"/>
    <n v="3.5972754491017969E-6"/>
    <x v="1"/>
  </r>
  <r>
    <x v="203"/>
    <n v="32.127000000000002"/>
    <n v="281.50400000000002"/>
    <n v="0.3282571912013536"/>
    <n v="1.0545918781725888E-2"/>
    <x v="1"/>
  </r>
  <r>
    <x v="204"/>
    <n v="21.271000000000001"/>
    <n v="289.50200000000001"/>
    <n v="0.19327731092436976"/>
    <n v="4.1112016806722695E-3"/>
    <x v="0"/>
  </r>
  <r>
    <x v="205"/>
    <n v="69.582999999999998"/>
    <n v="192.15899999999999"/>
    <n v="0.18097281831187409"/>
    <n v="1.2592631616595134E-2"/>
    <x v="3"/>
  </r>
  <r>
    <x v="206"/>
    <n v="10.957000000000001"/>
    <n v="335.95800000000003"/>
    <n v="0.20535714285714285"/>
    <n v="2.2500982142857145E-3"/>
    <x v="0"/>
  </r>
  <r>
    <x v="207"/>
    <n v="9.2789999999999999"/>
    <n v="280.31599999999997"/>
    <n v="0.36507936507936506"/>
    <n v="3.3875714285714286E-3"/>
    <x v="1"/>
  </r>
  <r>
    <x v="208"/>
    <n v="68.286000000000001"/>
    <n v="238.55600000000001"/>
    <n v="0.10605187319884726"/>
    <n v="7.241858213256484E-3"/>
    <x v="0"/>
  </r>
  <r>
    <x v="209"/>
    <n v="48.960999999999999"/>
    <n v="0.30501999999999996"/>
    <n v="0.33204633204633205"/>
    <n v="1.6257320463320464E-2"/>
    <x v="2"/>
  </r>
  <r>
    <x v="210"/>
    <n v="24.210999999999999"/>
    <n v="411.46199999999999"/>
    <n v="0.28537170263788969"/>
    <n v="6.9091342925659462E-3"/>
    <x v="1"/>
  </r>
  <r>
    <x v="211"/>
    <n v="45.185000000000002"/>
    <n v="215.381"/>
    <n v="0.33423913043478265"/>
    <n v="1.5102595108695655E-2"/>
    <x v="2"/>
  </r>
  <r>
    <x v="212"/>
    <n v="25.062999999999999"/>
    <n v="223.19800000000001"/>
    <n v="0.14382022471910111"/>
    <n v="3.6045662921348307E-3"/>
    <x v="3"/>
  </r>
  <r>
    <x v="213"/>
    <n v="10.196"/>
    <n v="272.15499999999997"/>
    <n v="0.18"/>
    <n v="1.8352799999999999E-3"/>
    <x v="0"/>
  </r>
  <r>
    <x v="214"/>
    <n v="56.698"/>
    <n v="185.56200000000001"/>
    <n v="0.33231240428790199"/>
    <n v="1.8841448698315468E-2"/>
    <x v="2"/>
  </r>
  <r>
    <x v="215"/>
    <n v="9.8000000000000014E-3"/>
    <n v="243.363"/>
    <n v="0.44019138755980869"/>
    <n v="4.3138755980861256E-6"/>
    <x v="1"/>
  </r>
  <r>
    <x v="216"/>
    <n v="23.675000000000001"/>
    <n v="242.15700000000001"/>
    <n v="0.37298387096774194"/>
    <n v="8.8303931451612899E-3"/>
    <x v="1"/>
  </r>
  <r>
    <x v="217"/>
    <n v="18.754999999999999"/>
    <n v="301.08600000000001"/>
    <n v="0.22406639004149378"/>
    <n v="4.2023651452282153E-3"/>
    <x v="0"/>
  </r>
  <r>
    <x v="218"/>
    <n v="56.661000000000001"/>
    <n v="206.155"/>
    <n v="0.13033359193173003"/>
    <n v="7.384831652443755E-3"/>
    <x v="3"/>
  </r>
  <r>
    <x v="219"/>
    <n v="66.721999999999994"/>
    <n v="267.108"/>
    <n v="0.20936639118457301"/>
    <n v="1.3969344352617078E-2"/>
    <x v="0"/>
  </r>
  <r>
    <x v="220"/>
    <n v="12.781000000000001"/>
    <n v="366.62900000000002"/>
    <n v="0.23308270676691728"/>
    <n v="2.9790300751879701E-3"/>
    <x v="0"/>
  </r>
  <r>
    <x v="221"/>
    <n v="23.422999999999998"/>
    <n v="282.84300000000002"/>
    <n v="0.38986784140969161"/>
    <n v="9.1318744493392064E-3"/>
    <x v="1"/>
  </r>
  <r>
    <x v="222"/>
    <n v="73.207999999999998"/>
    <n v="247.40299999999999"/>
    <n v="0.19522326064382137"/>
    <n v="1.4291904465212875E-2"/>
    <x v="0"/>
  </r>
  <r>
    <x v="223"/>
    <n v="14.629"/>
    <n v="0.25948000000000004"/>
    <n v="0.41242937853107342"/>
    <n v="6.0334293785310727E-3"/>
    <x v="2"/>
  </r>
  <r>
    <x v="224"/>
    <n v="60.847999999999999"/>
    <n v="259.77699999999999"/>
    <n v="0.31253678634490878"/>
    <n v="1.901723837551501E-2"/>
    <x v="1"/>
  </r>
  <r>
    <x v="225"/>
    <n v="78.837999999999994"/>
    <n v="247.495"/>
    <n v="0.17334494773519163"/>
    <n v="1.3666168989547037E-2"/>
    <x v="0"/>
  </r>
  <r>
    <x v="226"/>
    <n v="10.170999999999999"/>
    <n v="187.893"/>
    <n v="0.19642857142857145"/>
    <n v="1.9978750000000001E-3"/>
    <x v="3"/>
  </r>
  <r>
    <x v="227"/>
    <n v="7.8490000000000002"/>
    <n v="214.167"/>
    <n v="0.26642335766423353"/>
    <n v="2.0911569343065694E-3"/>
    <x v="2"/>
  </r>
  <r>
    <x v="228"/>
    <n v="42.284999999999997"/>
    <n v="330.47500000000002"/>
    <n v="8.538163001293661E-2"/>
    <n v="3.6103622250970246E-3"/>
    <x v="0"/>
  </r>
  <r>
    <x v="229"/>
    <n v="9.1989999999999998"/>
    <n v="171.75700000000001"/>
    <n v="0.24"/>
    <n v="2.20776E-3"/>
    <x v="3"/>
  </r>
  <r>
    <x v="230"/>
    <n v="6.6429999999999998"/>
    <n v="238.88300000000001"/>
    <n v="8.6363636363636351E-2"/>
    <n v="5.7371363636363627E-4"/>
    <x v="0"/>
  </r>
  <r>
    <x v="231"/>
    <n v="80.263000000000005"/>
    <n v="0.26589999999999997"/>
    <n v="0.15361890694239291"/>
    <n v="1.2329914327917283E-2"/>
    <x v="3"/>
  </r>
  <r>
    <x v="232"/>
    <n v="9.6059999999999999"/>
    <n v="232.553"/>
    <n v="0.2076502732240437"/>
    <n v="1.9946885245901639E-3"/>
    <x v="3"/>
  </r>
  <r>
    <x v="233"/>
    <n v="39.148000000000003"/>
    <n v="282.59100000000001"/>
    <n v="0.28154425612052736"/>
    <n v="1.1021894538606405E-2"/>
    <x v="1"/>
  </r>
  <r>
    <x v="234"/>
    <n v="69.501999999999995"/>
    <n v="189.93799999999999"/>
    <n v="0.27296587926509186"/>
    <n v="1.8971674540682413E-2"/>
    <x v="2"/>
  </r>
  <r>
    <x v="235"/>
    <n v="28.064"/>
    <n v="263.46499999999997"/>
    <n v="0.40310077519379844"/>
    <n v="1.131262015503876E-2"/>
    <x v="1"/>
  </r>
  <r>
    <x v="236"/>
    <n v="7.1950000000000003"/>
    <n v="186.23500000000001"/>
    <n v="0.30573248407643311"/>
    <n v="2.1997452229299361E-3"/>
    <x v="2"/>
  </r>
  <r>
    <x v="237"/>
    <n v="6.9909999999999997"/>
    <n v="267.21800000000002"/>
    <n v="0.20000000000000004"/>
    <n v="1.3982000000000001E-3"/>
    <x v="0"/>
  </r>
  <r>
    <x v="238"/>
    <n v="54.348999999999997"/>
    <n v="257.26499999999999"/>
    <n v="0.21047227926078027"/>
    <n v="1.1438957905544146E-2"/>
    <x v="0"/>
  </r>
  <r>
    <x v="239"/>
    <n v="22.285"/>
    <n v="210.09399999999999"/>
    <n v="0.25"/>
    <n v="5.5712499999999998E-3"/>
    <x v="3"/>
  </r>
  <r>
    <x v="240"/>
    <n v="44.454000000000001"/>
    <n v="259.93200000000002"/>
    <n v="0.27448979591836731"/>
    <n v="1.2202169387755101E-2"/>
    <x v="1"/>
  </r>
  <r>
    <x v="241"/>
    <n v="10.295999999999999"/>
    <n v="263.79199999999997"/>
    <n v="0.36986301369863017"/>
    <n v="3.8081095890410959E-3"/>
    <x v="1"/>
  </r>
  <r>
    <x v="242"/>
    <n v="4.758"/>
    <n v="159.72900000000001"/>
    <n v="0.20567375886524822"/>
    <n v="9.7859574468085091E-4"/>
    <x v="3"/>
  </r>
  <r>
    <x v="243"/>
    <n v="39.621000000000002"/>
    <n v="273.923"/>
    <n v="0.11995249406175772"/>
    <n v="4.7526377672209028E-3"/>
    <x v="0"/>
  </r>
  <r>
    <x v="244"/>
    <n v="4.6700000000000005E-2"/>
    <n v="281.90300000000002"/>
    <n v="0.26135216952573159"/>
    <n v="1.2205146316851666E-5"/>
    <x v="1"/>
  </r>
  <r>
    <x v="245"/>
    <n v="34.298000000000002"/>
    <n v="252.95699999999999"/>
    <n v="0.18757921419518378"/>
    <n v="6.4335918884664139E-3"/>
    <x v="0"/>
  </r>
  <r>
    <x v="246"/>
    <n v="2.9169999999999998"/>
    <n v="223.858"/>
    <n v="0.125"/>
    <n v="3.6462499999999999E-4"/>
    <x v="3"/>
  </r>
  <r>
    <x v="247"/>
    <n v="65.813999999999993"/>
    <n v="194.48699999999999"/>
    <n v="0.26185958254269448"/>
    <n v="1.723402656546489E-2"/>
    <x v="2"/>
  </r>
  <r>
    <x v="248"/>
    <n v="2.589E-2"/>
    <n v="265.96699999999998"/>
    <n v="0.20512820512820512"/>
    <n v="5.3107692307692309E-6"/>
    <x v="0"/>
  </r>
  <r>
    <x v="249"/>
    <n v="36.896000000000001"/>
    <n v="225.149"/>
    <n v="0.14119922630560927"/>
    <n v="5.2096866537717596E-3"/>
    <x v="3"/>
  </r>
  <r>
    <x v="250"/>
    <n v="3.039E-2"/>
    <n v="0.28437000000000001"/>
    <n v="0.17871485943775098"/>
    <n v="5.4311445783132524E-6"/>
    <x v="3"/>
  </r>
  <r>
    <x v="251"/>
    <n v="5.8860000000000001"/>
    <n v="329.28300000000002"/>
    <n v="0.57516339869281041"/>
    <n v="3.385411764705882E-3"/>
    <x v="1"/>
  </r>
  <r>
    <x v="252"/>
    <n v="2.5910000000000002"/>
    <n v="318.42500000000001"/>
    <n v="0.81115879828326176"/>
    <n v="2.1017124463519315E-3"/>
    <x v="1"/>
  </r>
  <r>
    <x v="253"/>
    <n v="38.628999999999998"/>
    <n v="272.66699999999997"/>
    <n v="0.12143611404435056"/>
    <n v="4.6909556494192173E-3"/>
    <x v="0"/>
  </r>
  <r>
    <x v="254"/>
    <n v="75.966999999999999"/>
    <n v="250.465"/>
    <n v="0.25566343042071199"/>
    <n v="1.9421983818770226E-2"/>
    <x v="0"/>
  </r>
  <r>
    <x v="255"/>
    <n v="64.119"/>
    <n v="242.345"/>
    <n v="0.24551282051282053"/>
    <n v="1.574203653846154E-2"/>
    <x v="0"/>
  </r>
  <r>
    <x v="256"/>
    <n v="5.2699999999999995E-3"/>
    <n v="206.07499999999999"/>
    <n v="0.33673469387755106"/>
    <n v="1.7745918367346939E-6"/>
    <x v="2"/>
  </r>
  <r>
    <x v="257"/>
    <n v="28.795000000000002"/>
    <n v="330.16399999999999"/>
    <n v="0.16594827586206898"/>
    <n v="4.7784806034482765E-3"/>
    <x v="0"/>
  </r>
  <r>
    <x v="258"/>
    <n v="26.048999999999999"/>
    <n v="244.00200000000001"/>
    <n v="0.19718309859154928"/>
    <n v="5.1364225352112667E-3"/>
    <x v="0"/>
  </r>
  <r>
    <x v="259"/>
    <n v="23.965"/>
    <n v="269.01299999999998"/>
    <n v="0.23518518518518516"/>
    <n v="5.6362129629629627E-3"/>
    <x v="0"/>
  </r>
  <r>
    <x v="260"/>
    <n v="6.6189999999999998"/>
    <n v="265.60399999999998"/>
    <n v="6.3492063492063489E-2"/>
    <n v="4.202539682539682E-4"/>
    <x v="0"/>
  </r>
  <r>
    <x v="261"/>
    <n v="68.558000000000007"/>
    <n v="217.68299999999999"/>
    <n v="0.16677874915938132"/>
    <n v="1.1434017484868865E-2"/>
    <x v="3"/>
  </r>
  <r>
    <x v="262"/>
    <n v="43.149000000000001"/>
    <n v="304.54700000000003"/>
    <n v="0.21241379310344827"/>
    <n v="9.1654427586206899E-3"/>
    <x v="0"/>
  </r>
  <r>
    <x v="263"/>
    <n v="22.552"/>
    <n v="200.86600000000001"/>
    <n v="0.40697674418604651"/>
    <n v="9.1781395348837207E-3"/>
    <x v="2"/>
  </r>
  <r>
    <x v="264"/>
    <n v="33.896000000000001"/>
    <n v="0.29048000000000002"/>
    <n v="0.36748329621380843"/>
    <n v="1.245621380846325E-2"/>
    <x v="2"/>
  </r>
  <r>
    <x v="265"/>
    <n v="5.4580000000000002"/>
    <n v="388.23399999999998"/>
    <n v="7.6923076923076927E-2"/>
    <n v="4.1984615384615389E-4"/>
    <x v="0"/>
  </r>
  <r>
    <x v="266"/>
    <n v="12.215999999999999"/>
    <n v="286.59899999999999"/>
    <n v="0.26380368098159512"/>
    <n v="3.2226257668711662E-3"/>
    <x v="1"/>
  </r>
  <r>
    <x v="267"/>
    <n v="7.0590000000000002"/>
    <n v="309.12799999999999"/>
    <n v="0.26744186046511625"/>
    <n v="1.8878720930232558E-3"/>
    <x v="1"/>
  </r>
  <r>
    <x v="268"/>
    <n v="72.486999999999995"/>
    <n v="272.00599999999997"/>
    <n v="0.26652452025586354"/>
    <n v="1.9319562899786778E-2"/>
    <x v="1"/>
  </r>
  <r>
    <x v="269"/>
    <n v="42.308"/>
    <n v="302.423"/>
    <n v="0.30217391304347824"/>
    <n v="1.2784373913043478E-2"/>
    <x v="1"/>
  </r>
  <r>
    <x v="270"/>
    <n v="35.000999999999998"/>
    <n v="0.30725000000000002"/>
    <n v="0.23529411764705885"/>
    <n v="8.2355294117647058E-3"/>
    <x v="3"/>
  </r>
  <r>
    <x v="271"/>
    <n v="23.466000000000001"/>
    <n v="0.26524000000000003"/>
    <n v="0.15398886827458255"/>
    <n v="3.6135027829313545E-3"/>
    <x v="3"/>
  </r>
  <r>
    <x v="272"/>
    <n v="1.711E-2"/>
    <n v="282.82499999999999"/>
    <n v="0"/>
    <n v="0"/>
    <x v="0"/>
  </r>
  <r>
    <x v="273"/>
    <n v="8.5150000000000006"/>
    <n v="309.58199999999999"/>
    <n v="1"/>
    <n v="8.515E-3"/>
    <x v="1"/>
  </r>
  <r>
    <x v="274"/>
    <n v="61.305"/>
    <n v="290.95600000000002"/>
    <n v="0.26492287055667341"/>
    <n v="1.6241096579476862E-2"/>
    <x v="1"/>
  </r>
  <r>
    <x v="275"/>
    <n v="13.263"/>
    <n v="256.197"/>
    <n v="0.34113712374581939"/>
    <n v="4.5245016722408023E-3"/>
    <x v="1"/>
  </r>
  <r>
    <x v="276"/>
    <n v="33.067"/>
    <n v="257.93099999999998"/>
    <n v="0.33053221288515405"/>
    <n v="1.0929708683473389E-2"/>
    <x v="1"/>
  </r>
  <r>
    <x v="277"/>
    <n v="31.738"/>
    <n v="371.69400000000002"/>
    <n v="0.46352583586626139"/>
    <n v="1.4711382978723403E-2"/>
    <x v="1"/>
  </r>
  <r>
    <x v="278"/>
    <n v="10.999000000000001"/>
    <n v="361.59399999999999"/>
    <n v="0.46428571428571436"/>
    <n v="5.1066785714285728E-3"/>
    <x v="1"/>
  </r>
  <r>
    <x v="279"/>
    <n v="12.512"/>
    <n v="309.13200000000001"/>
    <n v="0.35983263598326359"/>
    <n v="4.5022259414225939E-3"/>
    <x v="1"/>
  </r>
  <r>
    <x v="280"/>
    <n v="7.4720000000000004"/>
    <n v="360.93099999999998"/>
    <n v="0.75090252707581229"/>
    <n v="5.6107436823104699E-3"/>
    <x v="1"/>
  </r>
  <r>
    <x v="281"/>
    <n v="9.1590000000000007"/>
    <n v="0.20221"/>
    <n v="0.26973684210526316"/>
    <n v="2.4705197368421056E-3"/>
    <x v="2"/>
  </r>
  <r>
    <x v="282"/>
    <n v="7.4870000000000001"/>
    <n v="272.87400000000002"/>
    <n v="0.1607142857142857"/>
    <n v="1.203267857142857E-3"/>
    <x v="0"/>
  </r>
  <r>
    <x v="283"/>
    <n v="20.876000000000001"/>
    <n v="318.59100000000001"/>
    <n v="0.43544303797468353"/>
    <n v="9.090308860759495E-3"/>
    <x v="1"/>
  </r>
  <r>
    <x v="284"/>
    <n v="5.2119999999999997"/>
    <n v="203.751"/>
    <n v="0.15053763440860216"/>
    <n v="7.8460215053763435E-4"/>
    <x v="3"/>
  </r>
  <r>
    <x v="285"/>
    <n v="17.803999999999998"/>
    <n v="310.32100000000003"/>
    <n v="0.33670886075949369"/>
    <n v="5.9947645569620248E-3"/>
    <x v="1"/>
  </r>
  <r>
    <x v="286"/>
    <n v="60.064999999999998"/>
    <n v="228.56899999999999"/>
    <n v="0.15184563758389263"/>
    <n v="9.1206082214765113E-3"/>
    <x v="3"/>
  </r>
  <r>
    <x v="287"/>
    <n v="57.616"/>
    <n v="263.15699999999998"/>
    <n v="0.11748251748251748"/>
    <n v="6.7688727272727277E-3"/>
    <x v="0"/>
  </r>
  <r>
    <x v="288"/>
    <n v="10.821"/>
    <n v="225.851"/>
    <n v="0.31496062992125984"/>
    <n v="3.4081889763779528E-3"/>
    <x v="2"/>
  </r>
  <r>
    <x v="289"/>
    <n v="46.436"/>
    <n v="316.416"/>
    <n v="0.37327188940092171"/>
    <n v="1.73332534562212E-2"/>
    <x v="1"/>
  </r>
  <r>
    <x v="290"/>
    <n v="6.2329999999999997"/>
    <n v="154.029"/>
    <n v="0.19393939393939397"/>
    <n v="1.2088242424242426E-3"/>
    <x v="3"/>
  </r>
  <r>
    <x v="291"/>
    <n v="2.895"/>
    <n v="157.512"/>
    <n v="0.12857142857142859"/>
    <n v="3.7221428571428578E-4"/>
    <x v="3"/>
  </r>
  <r>
    <x v="292"/>
    <n v="7.1959999999999997"/>
    <n v="170.65600000000001"/>
    <n v="0.25853658536585372"/>
    <n v="1.8604292682926832E-3"/>
    <x v="2"/>
  </r>
  <r>
    <x v="293"/>
    <n v="3.1230000000000002"/>
    <n v="320.245"/>
    <n v="0.29032258064516125"/>
    <n v="9.0667741935483866E-4"/>
    <x v="1"/>
  </r>
  <r>
    <x v="294"/>
    <n v="31.882000000000001"/>
    <n v="343.89400000000001"/>
    <n v="0.48634812286689416"/>
    <n v="1.5505750853242321E-2"/>
    <x v="1"/>
  </r>
  <r>
    <x v="295"/>
    <n v="9.5830000000000002"/>
    <n v="170.935"/>
    <n v="0.2742857142857143"/>
    <n v="2.6284800000000003E-3"/>
    <x v="2"/>
  </r>
  <r>
    <x v="296"/>
    <n v="7.1180000000000003"/>
    <n v="194.846"/>
    <n v="0.24817518248175183"/>
    <n v="1.7665109489051097E-3"/>
    <x v="3"/>
  </r>
  <r>
    <x v="297"/>
    <n v="2.8959999999999999"/>
    <n v="123.631"/>
    <n v="0.32835820895522388"/>
    <n v="9.5092537313432837E-4"/>
    <x v="2"/>
  </r>
  <r>
    <x v="298"/>
    <n v="72.863"/>
    <n v="0.19913999999999998"/>
    <n v="0.21641791044776115"/>
    <n v="1.5768858208955221E-2"/>
    <x v="3"/>
  </r>
  <r>
    <x v="299"/>
    <n v="7.0869999999999997"/>
    <n v="207.71600000000001"/>
    <n v="0.18750000000000003"/>
    <n v="1.3288125000000001E-3"/>
    <x v="3"/>
  </r>
  <r>
    <x v="300"/>
    <n v="70.808000000000007"/>
    <n v="290.87299999999999"/>
    <n v="0.2080637132901941"/>
    <n v="1.4732575410652066E-2"/>
    <x v="0"/>
  </r>
  <r>
    <x v="301"/>
    <n v="2.887E-2"/>
    <n v="250.227"/>
    <n v="0.25341614906832294"/>
    <n v="7.3161242236024831E-6"/>
    <x v="0"/>
  </r>
  <r>
    <x v="302"/>
    <n v="19.626999999999999"/>
    <n v="333.88400000000001"/>
    <n v="0.19526627218934911"/>
    <n v="3.832491124260355E-3"/>
    <x v="0"/>
  </r>
  <r>
    <x v="303"/>
    <n v="22.225999999999999"/>
    <n v="178.619"/>
    <n v="0.31153846153846154"/>
    <n v="6.9242538461538458E-3"/>
    <x v="2"/>
  </r>
  <r>
    <x v="304"/>
    <n v="58.563000000000002"/>
    <n v="0.23812"/>
    <n v="0.19317356572258534"/>
    <n v="1.1312823529411766E-2"/>
    <x v="3"/>
  </r>
  <r>
    <x v="305"/>
    <n v="56.920999999999999"/>
    <n v="279.738"/>
    <n v="0.17786308381317975"/>
    <n v="1.0124144593730004E-2"/>
    <x v="0"/>
  </r>
  <r>
    <x v="306"/>
    <n v="76.673000000000002"/>
    <n v="220.363"/>
    <n v="0.19020501138952164"/>
    <n v="1.4583588838268794E-2"/>
    <x v="3"/>
  </r>
  <r>
    <x v="307"/>
    <n v="1.9140000000000001E-2"/>
    <n v="313.42700000000002"/>
    <n v="0.30535714285714288"/>
    <n v="5.8445357142857155E-6"/>
    <x v="1"/>
  </r>
  <r>
    <x v="308"/>
    <n v="17.231000000000002"/>
    <n v="272.01100000000002"/>
    <n v="0.44164037854889587"/>
    <n v="7.6099053627760255E-3"/>
    <x v="1"/>
  </r>
  <r>
    <x v="309"/>
    <n v="23.231999999999999"/>
    <n v="277.46300000000002"/>
    <n v="0.19917012448132779"/>
    <n v="4.6271203319502071E-3"/>
    <x v="0"/>
  </r>
  <r>
    <x v="310"/>
    <n v="38.743000000000002"/>
    <n v="276.024"/>
    <n v="0.2729439809296782"/>
    <n v="1.0574668653158524E-2"/>
    <x v="1"/>
  </r>
  <r>
    <x v="311"/>
    <n v="2.6520000000000001"/>
    <n v="196.83699999999999"/>
    <n v="0.3968253968253968"/>
    <n v="1.0523809523809524E-3"/>
    <x v="2"/>
  </r>
  <r>
    <x v="312"/>
    <n v="7.1280000000000001"/>
    <n v="0.13116999999999998"/>
    <n v="0.65868263473053901"/>
    <n v="4.6950898203592818E-3"/>
    <x v="2"/>
  </r>
  <r>
    <x v="313"/>
    <n v="7.008"/>
    <n v="590.20699999999999"/>
    <n v="0.22043010752688169"/>
    <n v="1.544774193548387E-3"/>
    <x v="0"/>
  </r>
  <r>
    <x v="314"/>
    <n v="7.1390000000000002"/>
    <n v="162.19800000000001"/>
    <n v="0.45859872611464964"/>
    <n v="3.2739363057324839E-3"/>
    <x v="2"/>
  </r>
  <r>
    <x v="315"/>
    <n v="14.581"/>
    <n v="307.72399999999999"/>
    <n v="0.28510638297872343"/>
    <n v="4.1571361702127663E-3"/>
    <x v="1"/>
  </r>
  <r>
    <x v="316"/>
    <n v="44.363999999999997"/>
    <n v="281.44299999999998"/>
    <n v="0.17131979695431473"/>
    <n v="7.6004314720812182E-3"/>
    <x v="0"/>
  </r>
  <r>
    <x v="317"/>
    <n v="6.5910000000000002"/>
    <n v="365.81299999999999"/>
    <n v="0.15079365079365079"/>
    <n v="9.9388095238095225E-4"/>
    <x v="0"/>
  </r>
  <r>
    <x v="318"/>
    <n v="23.178000000000001"/>
    <n v="0.33695999999999998"/>
    <n v="0.48283752860411894"/>
    <n v="1.1191208237986269E-2"/>
    <x v="2"/>
  </r>
  <r>
    <x v="319"/>
    <n v="67.606999999999999"/>
    <n v="258.71699999999998"/>
    <n v="0.19383521043272078"/>
    <n v="1.3104617071724955E-2"/>
    <x v="0"/>
  </r>
  <r>
    <x v="320"/>
    <n v="10.022"/>
    <n v="154.256"/>
    <n v="0.34666666666666668"/>
    <n v="3.4742933333333339E-3"/>
    <x v="2"/>
  </r>
  <r>
    <x v="321"/>
    <n v="7.7549999999999999"/>
    <n v="428.11500000000001"/>
    <n v="0.10455764075067024"/>
    <n v="8.1084450402144775E-4"/>
    <x v="0"/>
  </r>
  <r>
    <x v="322"/>
    <n v="16.033000000000001"/>
    <n v="220.55099999999999"/>
    <n v="0"/>
    <n v="0"/>
    <x v="3"/>
  </r>
  <r>
    <x v="323"/>
    <n v="2.6890000000000001"/>
    <n v="121.96299999999999"/>
    <n v="0.55384615384615377"/>
    <n v="1.4892923076923075E-3"/>
    <x v="2"/>
  </r>
  <r>
    <x v="324"/>
    <n v="5.4169999999999998"/>
    <n v="165.40299999999999"/>
    <n v="9.8360655737704916E-2"/>
    <n v="5.3281967213114753E-4"/>
    <x v="3"/>
  </r>
  <r>
    <x v="325"/>
    <n v="18.539000000000001"/>
    <n v="310.488"/>
    <n v="0.15567282321899736"/>
    <n v="2.8860184696569923E-3"/>
    <x v="0"/>
  </r>
  <r>
    <x v="326"/>
    <n v="29.145"/>
    <n v="332.30900000000003"/>
    <n v="0.26266416510318946"/>
    <n v="7.6553470919324572E-3"/>
    <x v="1"/>
  </r>
  <r>
    <x v="327"/>
    <n v="3.6930000000000001"/>
    <n v="222.57599999999999"/>
    <n v="0"/>
    <n v="0"/>
    <x v="3"/>
  </r>
  <r>
    <x v="328"/>
    <n v="2.548"/>
    <n v="0.27627999999999997"/>
    <n v="0.17777777777777778"/>
    <n v="4.5297777777777781E-4"/>
    <x v="3"/>
  </r>
  <r>
    <x v="329"/>
    <n v="12.462"/>
    <n v="237.52500000000001"/>
    <n v="0.1086261980830671"/>
    <n v="1.3536996805111822E-3"/>
    <x v="3"/>
  </r>
  <r>
    <x v="330"/>
    <n v="4.306"/>
    <n v="282.87200000000001"/>
    <n v="0.28099173553719009"/>
    <n v="1.2099504132231404E-3"/>
    <x v="1"/>
  </r>
  <r>
    <x v="331"/>
    <n v="7.1609999999999996"/>
    <n v="465.97699999999998"/>
    <n v="0.287292817679558"/>
    <n v="2.0573038674033144E-3"/>
    <x v="1"/>
  </r>
  <r>
    <x v="332"/>
    <n v="65.228999999999999"/>
    <n v="260.63499999999999"/>
    <n v="0.1777509068923821"/>
    <n v="1.1594513905683192E-2"/>
    <x v="0"/>
  </r>
  <r>
    <x v="333"/>
    <n v="46.625999999999998"/>
    <n v="436.45499999999998"/>
    <n v="0.17009602194787379"/>
    <n v="7.9308971193415637E-3"/>
    <x v="0"/>
  </r>
  <r>
    <x v="334"/>
    <n v="37.009"/>
    <n v="0.29285"/>
    <n v="0.14992503748125938"/>
    <n v="5.5485757121439281E-3"/>
    <x v="3"/>
  </r>
  <r>
    <x v="335"/>
    <n v="10.036"/>
    <n v="194.49100000000001"/>
    <n v="0.2"/>
    <n v="2.0072000000000002E-3"/>
    <x v="3"/>
  </r>
  <r>
    <x v="336"/>
    <n v="17.367000000000001"/>
    <n v="274.42700000000002"/>
    <n v="9.7165991902833995E-2"/>
    <n v="1.6874817813765182E-3"/>
    <x v="0"/>
  </r>
  <r>
    <x v="337"/>
    <n v="54.177999999999997"/>
    <n v="194.93100000000001"/>
    <n v="0.24479889042995837"/>
    <n v="1.3262714285714284E-2"/>
    <x v="3"/>
  </r>
  <r>
    <x v="338"/>
    <n v="5.3369999999999997"/>
    <n v="225.798"/>
    <n v="0.26315789473684209"/>
    <n v="1.4044736842105262E-3"/>
    <x v="2"/>
  </r>
  <r>
    <x v="339"/>
    <n v="58.122"/>
    <n v="272.20299999999997"/>
    <n v="0.11120471777590565"/>
    <n v="6.4634406065711882E-3"/>
    <x v="0"/>
  </r>
  <r>
    <x v="340"/>
    <n v="3.9580000000000002"/>
    <n v="331.00400000000002"/>
    <n v="0.16666666666666669"/>
    <n v="6.5966666666666669E-4"/>
    <x v="0"/>
  </r>
  <r>
    <x v="341"/>
    <n v="9.9329999999999998"/>
    <n v="130.47399999999999"/>
    <n v="0.32577903682719545"/>
    <n v="3.2359631728045325E-3"/>
    <x v="2"/>
  </r>
  <r>
    <x v="342"/>
    <n v="62.637"/>
    <n v="0.25008999999999998"/>
    <n v="0.30182529335071706"/>
    <n v="1.8905430899608864E-2"/>
    <x v="2"/>
  </r>
  <r>
    <x v="343"/>
    <n v="3.5770000000000003E-2"/>
    <n v="302.88299999999998"/>
    <n v="0.3353437876960193"/>
    <n v="1.1995247285886612E-5"/>
    <x v="1"/>
  </r>
  <r>
    <x v="344"/>
    <n v="4.1520000000000001"/>
    <n v="169.31700000000001"/>
    <n v="0.84040404040404038"/>
    <n v="3.489357575757576E-3"/>
    <x v="2"/>
  </r>
  <r>
    <x v="345"/>
    <n v="79.099000000000004"/>
    <n v="0.25458000000000003"/>
    <n v="0.22784810126582278"/>
    <n v="1.8022556962025316E-2"/>
    <x v="3"/>
  </r>
  <r>
    <x v="346"/>
    <n v="16.233000000000001"/>
    <n v="232.922"/>
    <n v="0.11333333333333334"/>
    <n v="1.8397400000000001E-3"/>
    <x v="3"/>
  </r>
  <r>
    <x v="347"/>
    <n v="6.1210000000000004"/>
    <n v="367.58199999999999"/>
    <n v="0"/>
    <n v="0"/>
    <x v="0"/>
  </r>
  <r>
    <x v="348"/>
    <n v="6.7290000000000001"/>
    <n v="157.22800000000001"/>
    <n v="0.19678714859437749"/>
    <n v="1.3241807228915662E-3"/>
    <x v="3"/>
  </r>
  <r>
    <x v="349"/>
    <n v="40.462000000000003"/>
    <n v="287.35399999999998"/>
    <n v="0.19918283963227784"/>
    <n v="8.0593360572012267E-3"/>
    <x v="0"/>
  </r>
  <r>
    <x v="350"/>
    <n v="38.988999999999997"/>
    <n v="337.16899999999998"/>
    <n v="0.28222523744911804"/>
    <n v="1.1003679782903663E-2"/>
    <x v="1"/>
  </r>
  <r>
    <x v="351"/>
    <n v="27.308"/>
    <n v="309.73099999999999"/>
    <n v="0.27954971857410882"/>
    <n v="7.6339437148217641E-3"/>
    <x v="1"/>
  </r>
  <r>
    <x v="352"/>
    <n v="2.4300000000000002E-2"/>
    <n v="325.846"/>
    <n v="0.10391566265060241"/>
    <n v="2.5251506024096388E-6"/>
    <x v="0"/>
  </r>
  <r>
    <x v="353"/>
    <n v="17.242999999999999"/>
    <n v="311.83800000000002"/>
    <n v="0.21040189125295505"/>
    <n v="3.6279598108747034E-3"/>
    <x v="0"/>
  </r>
  <r>
    <x v="354"/>
    <n v="54.284999999999997"/>
    <n v="0.36380000000000001"/>
    <n v="0.18297101449275363"/>
    <n v="9.9325815217391304E-3"/>
    <x v="3"/>
  </r>
  <r>
    <x v="355"/>
    <n v="7.1180000000000003"/>
    <n v="164.095"/>
    <n v="0.64338235294117641"/>
    <n v="4.5795955882352935E-3"/>
    <x v="2"/>
  </r>
  <r>
    <x v="356"/>
    <n v="8.6180000000000003"/>
    <n v="137.85599999999999"/>
    <n v="0.44444444444444448"/>
    <n v="3.8302222222222223E-3"/>
    <x v="2"/>
  </r>
  <r>
    <x v="357"/>
    <n v="59.686999999999998"/>
    <n v="247.05600000000001"/>
    <n v="0.20890099909173476"/>
    <n v="1.2468673932788372E-2"/>
    <x v="0"/>
  </r>
  <r>
    <x v="358"/>
    <n v="7.1689999999999996"/>
    <n v="304.38600000000002"/>
    <n v="7.4712643678160925E-2"/>
    <n v="5.3561494252873563E-4"/>
    <x v="0"/>
  </r>
  <r>
    <x v="359"/>
    <n v="14.503"/>
    <n v="277.03899999999999"/>
    <n v="0.10052910052910054"/>
    <n v="1.4579735449735452E-3"/>
    <x v="0"/>
  </r>
  <r>
    <x v="360"/>
    <n v="19.053000000000001"/>
    <n v="213.458"/>
    <n v="0.24448897795591182"/>
    <n v="4.6582484969939879E-3"/>
    <x v="3"/>
  </r>
  <r>
    <x v="361"/>
    <n v="2.742"/>
    <n v="121.07299999999999"/>
    <n v="0"/>
    <n v="0"/>
    <x v="3"/>
  </r>
  <r>
    <x v="362"/>
    <n v="1.276"/>
    <n v="186.584"/>
    <n v="0.65714285714285725"/>
    <n v="8.3851428571428584E-4"/>
    <x v="2"/>
  </r>
  <r>
    <x v="363"/>
    <n v="27.946999999999999"/>
    <n v="323.036"/>
    <n v="0.11643835616438357"/>
    <n v="3.2541027397260274E-3"/>
    <x v="0"/>
  </r>
  <r>
    <x v="364"/>
    <n v="67.248000000000005"/>
    <n v="312.14299999999997"/>
    <n v="0.22826086956521741"/>
    <n v="1.5350086956521741E-2"/>
    <x v="0"/>
  </r>
  <r>
    <x v="365"/>
    <n v="17.396999999999998"/>
    <n v="229.63200000000001"/>
    <n v="0.47769516728624534"/>
    <n v="8.3104628252788099E-3"/>
    <x v="2"/>
  </r>
  <r>
    <x v="366"/>
    <n v="7.1829999999999998"/>
    <n v="173.18799999999999"/>
    <n v="0.25301204819277107"/>
    <n v="1.8173855421686745E-3"/>
    <x v="3"/>
  </r>
  <r>
    <x v="367"/>
    <n v="3.1170000000000003E-2"/>
    <n v="304.55399999999997"/>
    <n v="0.20319999999999999"/>
    <n v="6.3337440000000004E-6"/>
    <x v="0"/>
  </r>
  <r>
    <x v="368"/>
    <n v="29.417999999999999"/>
    <n v="291.75700000000001"/>
    <n v="0.17493472584856398"/>
    <n v="5.1462297650130559E-3"/>
    <x v="0"/>
  </r>
  <r>
    <x v="369"/>
    <n v="6.931"/>
    <n v="255.51900000000001"/>
    <n v="4.3137254901960791E-2"/>
    <n v="2.9898431372549022E-4"/>
    <x v="0"/>
  </r>
  <r>
    <x v="370"/>
    <n v="42.125"/>
    <n v="0.22941"/>
    <n v="0.25168236877523553"/>
    <n v="1.0602119784656796E-2"/>
    <x v="3"/>
  </r>
  <r>
    <x v="371"/>
    <n v="2.7370000000000001"/>
    <n v="166.607"/>
    <n v="0.12195121951219513"/>
    <n v="3.3378048780487808E-4"/>
    <x v="3"/>
  </r>
  <r>
    <x v="372"/>
    <n v="2.6920000000000003E-2"/>
    <n v="249.107"/>
    <n v="8.0188679245283015E-2"/>
    <n v="2.1586792452830189E-6"/>
    <x v="0"/>
  </r>
  <r>
    <x v="373"/>
    <n v="17.777000000000001"/>
    <n v="289.98700000000002"/>
    <n v="0.19285714285714289"/>
    <n v="3.4284214285714297E-3"/>
    <x v="0"/>
  </r>
  <r>
    <x v="374"/>
    <n v="23.103999999999999"/>
    <n v="319.55700000000002"/>
    <n v="0.19298245614035089"/>
    <n v="4.4586666666666672E-3"/>
    <x v="0"/>
  </r>
  <r>
    <x v="375"/>
    <n v="13.616"/>
    <n v="386.38600000000002"/>
    <n v="0.11634349030470914"/>
    <n v="1.5841329639889198E-3"/>
    <x v="0"/>
  </r>
  <r>
    <x v="376"/>
    <n v="2.1430000000000001E-2"/>
    <n v="297.75299999999999"/>
    <n v="0.25"/>
    <n v="5.3575E-6"/>
    <x v="0"/>
  </r>
  <r>
    <x v="377"/>
    <n v="7.6619999999999999"/>
    <n v="302.536"/>
    <n v="0.3174603174603175"/>
    <n v="2.4323809523809524E-3"/>
    <x v="1"/>
  </r>
  <r>
    <x v="378"/>
    <n v="15.555999999999999"/>
    <n v="406.66399999999999"/>
    <n v="0.44482758620689655"/>
    <n v="6.9197379310344817E-3"/>
    <x v="1"/>
  </r>
  <r>
    <x v="379"/>
    <n v="7.2110000000000003"/>
    <n v="0.18928999999999999"/>
    <n v="0.44736842105263158"/>
    <n v="3.2259736842105268E-3"/>
    <x v="2"/>
  </r>
  <r>
    <x v="380"/>
    <n v="7.0730000000000004"/>
    <n v="166.126"/>
    <n v="0.33333333333333331"/>
    <n v="2.3576666666666668E-3"/>
    <x v="2"/>
  </r>
  <r>
    <x v="381"/>
    <n v="39.384"/>
    <n v="367.791"/>
    <n v="0.15970149253731344"/>
    <n v="6.2896835820895527E-3"/>
    <x v="0"/>
  </r>
  <r>
    <x v="382"/>
    <n v="31.106000000000002"/>
    <n v="327.68099999999998"/>
    <n v="9.9767981438515091E-2"/>
    <n v="3.1033828306264504E-3"/>
    <x v="0"/>
  </r>
  <r>
    <x v="383"/>
    <n v="57.180999999999997"/>
    <n v="212.02699999999999"/>
    <n v="0.30493915533285609"/>
    <n v="1.7436725841088043E-2"/>
    <x v="2"/>
  </r>
  <r>
    <x v="384"/>
    <n v="2.8E-3"/>
    <n v="161.43299999999999"/>
    <n v="0.34177215189873417"/>
    <n v="9.5696202531645564E-7"/>
    <x v="2"/>
  </r>
  <r>
    <x v="385"/>
    <n v="67.117999999999995"/>
    <n v="258.27600000000001"/>
    <n v="0.14247491638795987"/>
    <n v="9.5626314381270904E-3"/>
    <x v="0"/>
  </r>
  <r>
    <x v="386"/>
    <n v="2.6800000000000001E-3"/>
    <n v="167.56800000000001"/>
    <n v="0.14814814814814814"/>
    <n v="3.9703703703703706E-7"/>
    <x v="3"/>
  </r>
  <r>
    <x v="387"/>
    <n v="1.0150000000000001E-2"/>
    <n v="212.715"/>
    <n v="1.6216216216216214E-2"/>
    <n v="1.6459459459459459E-7"/>
    <x v="3"/>
  </r>
  <r>
    <x v="388"/>
    <n v="8.4619999999999997"/>
    <n v="137.197"/>
    <n v="0.42477876106194695"/>
    <n v="3.594477876106195E-3"/>
    <x v="2"/>
  </r>
  <r>
    <x v="389"/>
    <n v="5.1289999999999996"/>
    <n v="191.852"/>
    <n v="0.12962962962962962"/>
    <n v="6.6487037037037025E-4"/>
    <x v="3"/>
  </r>
  <r>
    <x v="390"/>
    <n v="16.356000000000002"/>
    <n v="247.988"/>
    <n v="0.16666666666666669"/>
    <n v="2.7260000000000006E-3"/>
    <x v="0"/>
  </r>
  <r>
    <x v="391"/>
    <n v="2.5950000000000002"/>
    <n v="0.16646"/>
    <n v="0.26865671641791045"/>
    <n v="6.9716417910447768E-4"/>
    <x v="2"/>
  </r>
  <r>
    <x v="392"/>
    <n v="61.228999999999999"/>
    <n v="239.18299999999999"/>
    <n v="0.27897350993377484"/>
    <n v="1.70812690397351E-2"/>
    <x v="1"/>
  </r>
  <r>
    <x v="393"/>
    <n v="22.372"/>
    <n v="0.27297000000000005"/>
    <n v="0.17520215633423181"/>
    <n v="3.9196226415094343E-3"/>
    <x v="3"/>
  </r>
  <r>
    <x v="394"/>
    <n v="2.6339999999999999"/>
    <n v="156.773"/>
    <n v="0"/>
    <n v="0"/>
    <x v="3"/>
  </r>
  <r>
    <x v="395"/>
    <n v="34.722000000000001"/>
    <n v="258.62200000000001"/>
    <n v="0.29489291598023065"/>
    <n v="1.0239271828665568E-2"/>
    <x v="1"/>
  </r>
  <r>
    <x v="396"/>
    <n v="2.9980000000000002"/>
    <n v="301.90899999999999"/>
    <n v="0.62222222222222223"/>
    <n v="1.8654222222222222E-3"/>
    <x v="1"/>
  </r>
  <r>
    <x v="397"/>
    <n v="10.097"/>
    <n v="259.58199999999999"/>
    <n v="0.39542483660130717"/>
    <n v="3.9926045751633981E-3"/>
    <x v="1"/>
  </r>
  <r>
    <x v="398"/>
    <n v="19.753"/>
    <n v="218.55199999999999"/>
    <n v="0.10687022900763359"/>
    <n v="2.1110076335877862E-3"/>
    <x v="3"/>
  </r>
  <r>
    <x v="399"/>
    <n v="5.6799999999999996E-2"/>
    <n v="303.97699999999998"/>
    <n v="0.2749428789032749"/>
    <n v="1.5616755521706013E-5"/>
    <x v="1"/>
  </r>
  <r>
    <x v="400"/>
    <n v="68.433999999999997"/>
    <n v="312.303"/>
    <n v="0.24868189806678381"/>
    <n v="1.7018297012302282E-2"/>
    <x v="0"/>
  </r>
  <r>
    <x v="401"/>
    <n v="20.687000000000001"/>
    <n v="325.56799999999998"/>
    <n v="0"/>
    <n v="0"/>
    <x v="0"/>
  </r>
  <r>
    <x v="402"/>
    <n v="38.956000000000003"/>
    <n v="0.22836000000000001"/>
    <n v="0.21861777150916786"/>
    <n v="8.5164739069111452E-3"/>
    <x v="3"/>
  </r>
  <r>
    <x v="403"/>
    <n v="37.518999999999998"/>
    <n v="0.35133999999999999"/>
    <n v="9.1472868217054262E-2"/>
    <n v="3.431970542635659E-3"/>
    <x v="3"/>
  </r>
  <r>
    <x v="404"/>
    <n v="2.7799999999999999E-3"/>
    <n v="67.635000000000005"/>
    <n v="0.55670103092783507"/>
    <n v="1.5476288659793814E-6"/>
    <x v="2"/>
  </r>
  <r>
    <x v="405"/>
    <n v="26.335000000000001"/>
    <n v="222.249"/>
    <n v="0.38263665594855306"/>
    <n v="1.0076736334405145E-2"/>
    <x v="2"/>
  </r>
  <r>
    <x v="406"/>
    <n v="4.6580000000000004"/>
    <n v="156.499"/>
    <n v="0.20408163265306123"/>
    <n v="9.5061224489795921E-4"/>
    <x v="3"/>
  </r>
  <r>
    <x v="407"/>
    <n v="4.3E-3"/>
    <n v="361.42099999999999"/>
    <n v="0.41717791411042948"/>
    <n v="1.7938650306748467E-6"/>
    <x v="1"/>
  </r>
  <r>
    <x v="408"/>
    <n v="72.412000000000006"/>
    <n v="285.43599999999998"/>
    <n v="0.20093770931011387"/>
    <n v="1.4550301406563968E-2"/>
    <x v="0"/>
  </r>
  <r>
    <x v="409"/>
    <n v="10.147"/>
    <n v="283.73700000000002"/>
    <n v="0.50318471337579618"/>
    <n v="5.1058152866242041E-3"/>
    <x v="1"/>
  </r>
  <r>
    <x v="410"/>
    <n v="36.930999999999997"/>
    <n v="303.80700000000002"/>
    <n v="9.5541401273885357E-2"/>
    <n v="3.5284394904458601E-3"/>
    <x v="0"/>
  </r>
  <r>
    <x v="411"/>
    <n v="5.2359999999999997E-2"/>
    <n v="0.22134999999999999"/>
    <n v="0.14457831325301207"/>
    <n v="7.5701204819277118E-6"/>
    <x v="3"/>
  </r>
  <r>
    <x v="412"/>
    <n v="59.405000000000001"/>
    <n v="245.28200000000001"/>
    <n v="0.1346613545816733"/>
    <n v="7.9995577689243036E-3"/>
    <x v="0"/>
  </r>
  <r>
    <x v="413"/>
    <n v="51.386000000000003"/>
    <n v="247.47800000000001"/>
    <n v="0.48685491723466406"/>
    <n v="2.501752677702045E-2"/>
    <x v="1"/>
  </r>
  <r>
    <x v="414"/>
    <n v="1.7219999999999999E-2"/>
    <n v="349.94499999999999"/>
    <n v="0.29600000000000004"/>
    <n v="5.0971200000000004E-6"/>
    <x v="1"/>
  </r>
  <r>
    <x v="415"/>
    <n v="2.6160000000000001"/>
    <n v="0.33829000000000004"/>
    <n v="0"/>
    <n v="0"/>
    <x v="3"/>
  </r>
  <r>
    <x v="416"/>
    <n v="6.8609999999999998"/>
    <n v="214.845"/>
    <n v="0.21171171171171169"/>
    <n v="1.4525540540540538E-3"/>
    <x v="3"/>
  </r>
  <r>
    <x v="417"/>
    <n v="15.456"/>
    <n v="340.25099999999998"/>
    <n v="0.10452961672473866"/>
    <n v="1.6156097560975607E-3"/>
    <x v="0"/>
  </r>
  <r>
    <x v="418"/>
    <n v="4.9199999999999999E-3"/>
    <n v="114.035"/>
    <n v="0.52112676056338025"/>
    <n v="2.5639436619718306E-6"/>
    <x v="2"/>
  </r>
  <r>
    <x v="419"/>
    <n v="2.4620000000000002"/>
    <n v="211.245"/>
    <n v="0"/>
    <n v="0"/>
    <x v="3"/>
  </r>
  <r>
    <x v="420"/>
    <n v="43.779000000000003"/>
    <n v="195.73500000000001"/>
    <n v="0.33474218089602703"/>
    <n v="1.4654677937447168E-2"/>
    <x v="2"/>
  </r>
  <r>
    <x v="421"/>
    <n v="62.747999999999998"/>
    <n v="323.00700000000001"/>
    <n v="0.1908665105386417"/>
    <n v="1.1976491803278689E-2"/>
    <x v="0"/>
  </r>
  <r>
    <x v="422"/>
    <n v="23.216000000000001"/>
    <n v="265.63200000000001"/>
    <n v="0.15960099750623444"/>
    <n v="3.7052967581047386E-3"/>
    <x v="0"/>
  </r>
  <r>
    <x v="423"/>
    <n v="11.875999999999999"/>
    <n v="402.06400000000002"/>
    <n v="0.10389610389610389"/>
    <n v="1.2338701298701298E-3"/>
    <x v="0"/>
  </r>
  <r>
    <x v="424"/>
    <n v="4.3710000000000004"/>
    <n v="172.05699999999999"/>
    <n v="0.24444444444444444"/>
    <n v="1.0684666666666667E-3"/>
    <x v="3"/>
  </r>
  <r>
    <x v="425"/>
    <n v="56.777000000000001"/>
    <n v="251.31800000000001"/>
    <n v="0.27266028002947679"/>
    <n v="1.5480832719233603E-2"/>
    <x v="1"/>
  </r>
  <r>
    <x v="426"/>
    <n v="10.441000000000001"/>
    <n v="186.852"/>
    <n v="0.23275862068965519"/>
    <n v="2.4302327586206902E-3"/>
    <x v="3"/>
  </r>
  <r>
    <x v="427"/>
    <n v="20.885000000000002"/>
    <n v="335.55099999999999"/>
    <n v="0.20529801324503311"/>
    <n v="4.2876490066225169E-3"/>
    <x v="0"/>
  </r>
  <r>
    <x v="428"/>
    <n v="37.206000000000003"/>
    <n v="326.315"/>
    <n v="0.14413075780089152"/>
    <n v="5.3625289747399711E-3"/>
    <x v="0"/>
  </r>
  <r>
    <x v="429"/>
    <n v="13.106"/>
    <n v="399.74599999999998"/>
    <n v="0.22957198443579765"/>
    <n v="3.008770428015564E-3"/>
    <x v="0"/>
  </r>
  <r>
    <x v="430"/>
    <n v="11.725"/>
    <n v="264.64800000000002"/>
    <n v="0.18695652173913044"/>
    <n v="2.1920652173913046E-3"/>
    <x v="0"/>
  </r>
  <r>
    <x v="431"/>
    <n v="69.492000000000004"/>
    <n v="231.65299999999999"/>
    <n v="0.13703443429374559"/>
    <n v="9.5227969079409707E-3"/>
    <x v="3"/>
  </r>
  <r>
    <x v="432"/>
    <n v="48.363"/>
    <n v="114.014"/>
    <n v="0.34519303557910669"/>
    <n v="1.6694570779712335E-2"/>
    <x v="2"/>
  </r>
  <r>
    <x v="433"/>
    <n v="9.5890000000000004"/>
    <n v="250.601"/>
    <n v="0.18120805369127518"/>
    <n v="1.7376040268456379E-3"/>
    <x v="0"/>
  </r>
  <r>
    <x v="434"/>
    <n v="8.1259999999999994"/>
    <n v="276.01799999999997"/>
    <n v="0.29411764705882354"/>
    <n v="2.3900000000000002E-3"/>
    <x v="1"/>
  </r>
  <r>
    <x v="435"/>
    <n v="7.0060000000000002"/>
    <n v="115.623"/>
    <n v="0.48936170212765961"/>
    <n v="3.4284680851063834E-3"/>
    <x v="2"/>
  </r>
  <r>
    <x v="436"/>
    <n v="28.093"/>
    <n v="239.20599999999999"/>
    <n v="0.19592298980747452"/>
    <n v="5.5040645526613823E-3"/>
    <x v="0"/>
  </r>
  <r>
    <x v="437"/>
    <n v="13.651"/>
    <n v="0.22972000000000001"/>
    <n v="0.18749999999999997"/>
    <n v="2.5595624999999998E-3"/>
    <x v="3"/>
  </r>
  <r>
    <x v="438"/>
    <n v="9.3610000000000007"/>
    <n v="177.85900000000001"/>
    <n v="0.15770609318996415"/>
    <n v="1.4762867383512545E-3"/>
    <x v="3"/>
  </r>
  <r>
    <x v="439"/>
    <n v="14.201000000000001"/>
    <n v="181.11799999999999"/>
    <n v="0.41343669250645998"/>
    <n v="5.8712144702842382E-3"/>
    <x v="2"/>
  </r>
  <r>
    <x v="440"/>
    <n v="3.5139999999999998"/>
    <n v="156.81200000000001"/>
    <n v="0.3202614379084967"/>
    <n v="1.1253986928104573E-3"/>
    <x v="2"/>
  </r>
  <r>
    <x v="441"/>
    <n v="12.055"/>
    <n v="295.63900000000001"/>
    <n v="0.25"/>
    <n v="3.0137499999999999E-3"/>
    <x v="0"/>
  </r>
  <r>
    <x v="442"/>
    <n v="43.067"/>
    <n v="300.137"/>
    <n v="0.24064171122994651"/>
    <n v="1.0363716577540106E-2"/>
    <x v="0"/>
  </r>
  <r>
    <x v="443"/>
    <n v="2.8799999999999997E-3"/>
    <n v="173.602"/>
    <n v="0.45283018867924524"/>
    <n v="1.3041509433962261E-6"/>
    <x v="2"/>
  </r>
  <r>
    <x v="444"/>
    <n v="30.704999999999998"/>
    <n v="243.90299999999999"/>
    <n v="0.29572649572649573"/>
    <n v="9.0802820512820518E-3"/>
    <x v="1"/>
  </r>
  <r>
    <x v="445"/>
    <n v="2.8759999999999999"/>
    <n v="174.19900000000001"/>
    <n v="0.1818181818181818"/>
    <n v="5.2290909090909091E-4"/>
    <x v="3"/>
  </r>
  <r>
    <x v="446"/>
    <n v="15.012"/>
    <n v="354.97699999999998"/>
    <n v="0.1461864406779661"/>
    <n v="2.194550847457627E-3"/>
    <x v="0"/>
  </r>
  <r>
    <x v="447"/>
    <n v="59.478999999999999"/>
    <n v="0.14219999999999999"/>
    <n v="0.26840490797546013"/>
    <n v="1.5964455521472392E-2"/>
    <x v="2"/>
  </r>
  <r>
    <x v="448"/>
    <n v="12.638999999999999"/>
    <n v="381.90800000000002"/>
    <n v="9.6000000000000002E-2"/>
    <n v="1.2133439999999999E-3"/>
    <x v="0"/>
  </r>
  <r>
    <x v="449"/>
    <n v="40.235999999999997"/>
    <n v="251.965"/>
    <n v="0.33116883116883111"/>
    <n v="1.3324909090909089E-2"/>
    <x v="1"/>
  </r>
  <r>
    <x v="450"/>
    <n v="63.000999999999998"/>
    <n v="316.71199999999999"/>
    <n v="0.18384766907419564"/>
    <n v="1.1582586999343399E-2"/>
    <x v="0"/>
  </r>
  <r>
    <x v="451"/>
    <n v="4.2099999999999999E-2"/>
    <n v="251.40100000000001"/>
    <n v="0.12672176308539942"/>
    <n v="5.3349862258953156E-6"/>
    <x v="0"/>
  </r>
  <r>
    <x v="452"/>
    <n v="62.067999999999998"/>
    <n v="267.11099999999999"/>
    <n v="0.20836891545687444"/>
    <n v="1.2933041844577282E-2"/>
    <x v="0"/>
  </r>
  <r>
    <x v="453"/>
    <n v="5.4710000000000001"/>
    <n v="191.375"/>
    <n v="0.42168674698795178"/>
    <n v="2.3070481927710846E-3"/>
    <x v="2"/>
  </r>
  <r>
    <x v="454"/>
    <n v="10.275"/>
    <n v="288.37599999999998"/>
    <n v="0.30063291139240506"/>
    <n v="3.0890031645569621E-3"/>
    <x v="1"/>
  </r>
  <r>
    <x v="455"/>
    <n v="23.286000000000001"/>
    <n v="222.536"/>
    <n v="0"/>
    <n v="0"/>
    <x v="3"/>
  </r>
  <r>
    <x v="456"/>
    <n v="69.349000000000004"/>
    <n v="245.929"/>
    <n v="0.13501291989664083"/>
    <n v="9.3630109819121451E-3"/>
    <x v="0"/>
  </r>
  <r>
    <x v="457"/>
    <n v="1.288"/>
    <n v="317.57900000000001"/>
    <n v="0"/>
    <n v="0"/>
    <x v="0"/>
  </r>
  <r>
    <x v="458"/>
    <n v="12.297000000000001"/>
    <n v="197.77500000000001"/>
    <n v="0.24758842443729906"/>
    <n v="3.0445948553054665E-3"/>
    <x v="3"/>
  </r>
  <r>
    <x v="459"/>
    <n v="7.4770000000000003"/>
    <n v="331.53199999999998"/>
    <n v="8.0808080808080815E-2"/>
    <n v="6.0420202020202026E-4"/>
    <x v="0"/>
  </r>
  <r>
    <x v="460"/>
    <n v="11.263"/>
    <n v="214.59299999999999"/>
    <n v="0.19205298013245031"/>
    <n v="2.163092715231788E-3"/>
    <x v="3"/>
  </r>
  <r>
    <x v="461"/>
    <n v="78.924000000000007"/>
    <n v="235.518"/>
    <n v="0.18015824710894704"/>
    <n v="1.4218809494826538E-2"/>
    <x v="3"/>
  </r>
  <r>
    <x v="462"/>
    <n v="11.657"/>
    <n v="286.62099999999998"/>
    <n v="0.48730964467005072"/>
    <n v="5.680568527918782E-3"/>
    <x v="1"/>
  </r>
  <r>
    <x v="463"/>
    <n v="19.696999999999999"/>
    <n v="263.649"/>
    <n v="0.61147902869757176"/>
    <n v="1.2044302428256071E-2"/>
    <x v="1"/>
  </r>
  <r>
    <x v="464"/>
    <n v="43.637999999999998"/>
    <n v="360.53699999999998"/>
    <n v="0.3656441717791411"/>
    <n v="1.5955980368098158E-2"/>
    <x v="1"/>
  </r>
  <r>
    <x v="465"/>
    <n v="56.616"/>
    <n v="283.10199999999998"/>
    <n v="0.40718562874251502"/>
    <n v="2.3053221556886227E-2"/>
    <x v="1"/>
  </r>
  <r>
    <x v="466"/>
    <n v="23.050999999999998"/>
    <n v="220.512"/>
    <n v="0.32558139534883718"/>
    <n v="7.5049767441860453E-3"/>
    <x v="2"/>
  </r>
  <r>
    <x v="467"/>
    <n v="0.01"/>
    <n v="150.798"/>
    <n v="0.32051282051282048"/>
    <n v="3.205128205128205E-6"/>
    <x v="2"/>
  </r>
  <r>
    <x v="468"/>
    <n v="23.954999999999998"/>
    <n v="263.202"/>
    <n v="0.25964912280701752"/>
    <n v="6.2198947368421039E-3"/>
    <x v="1"/>
  </r>
  <r>
    <x v="469"/>
    <n v="57.003"/>
    <n v="215.44499999999999"/>
    <n v="0.15419947506561679"/>
    <n v="8.7898326771653542E-3"/>
    <x v="3"/>
  </r>
  <r>
    <x v="470"/>
    <n v="27.207000000000001"/>
    <n v="274.26400000000001"/>
    <n v="0.28330522765598654"/>
    <n v="7.7078853288364254E-3"/>
    <x v="1"/>
  </r>
  <r>
    <x v="471"/>
    <n v="2.3309999999999997E-2"/>
    <n v="471.72500000000002"/>
    <n v="0.16923076923076924"/>
    <n v="3.9447692307692307E-6"/>
    <x v="0"/>
  </r>
  <r>
    <x v="472"/>
    <n v="44.274000000000001"/>
    <n v="335.54899999999998"/>
    <n v="0.2478920741989882"/>
    <n v="1.0975173693086005E-2"/>
    <x v="0"/>
  </r>
  <r>
    <x v="473"/>
    <n v="44.521000000000001"/>
    <n v="255.227"/>
    <n v="0.22159090909090906"/>
    <n v="9.8654488636363627E-3"/>
    <x v="0"/>
  </r>
  <r>
    <x v="474"/>
    <n v="14.211"/>
    <n v="428.678"/>
    <n v="0.17955801104972377"/>
    <n v="2.5516988950276243E-3"/>
    <x v="0"/>
  </r>
  <r>
    <x v="475"/>
    <n v="9.9659999999999993"/>
    <n v="239.51400000000001"/>
    <n v="0.30687830687830686"/>
    <n v="3.0583492063492061E-3"/>
    <x v="1"/>
  </r>
  <r>
    <x v="476"/>
    <n v="57.341000000000001"/>
    <n v="269.024"/>
    <n v="0.20431034482758623"/>
    <n v="1.1715359482758621E-2"/>
    <x v="0"/>
  </r>
  <r>
    <x v="477"/>
    <n v="8.8960000000000008"/>
    <n v="179.86199999999999"/>
    <n v="0.4560570071258907"/>
    <n v="4.0570831353919238E-3"/>
    <x v="2"/>
  </r>
  <r>
    <x v="478"/>
    <n v="59.274999999999999"/>
    <n v="198.10900000000001"/>
    <n v="0.26987951807228916"/>
    <n v="1.599710843373494E-2"/>
    <x v="2"/>
  </r>
  <r>
    <x v="479"/>
    <n v="38.475000000000001"/>
    <n v="200.441"/>
    <n v="0.2332155477031802"/>
    <n v="8.9729681978798579E-3"/>
    <x v="3"/>
  </r>
  <r>
    <x v="480"/>
    <n v="2.5310000000000001"/>
    <n v="305.85500000000002"/>
    <n v="0"/>
    <n v="0"/>
    <x v="0"/>
  </r>
  <r>
    <x v="481"/>
    <n v="54.808"/>
    <n v="0.34086"/>
    <n v="0.22600408441116404"/>
    <n v="1.2386831858407079E-2"/>
    <x v="3"/>
  </r>
  <r>
    <x v="482"/>
    <n v="2.8660000000000001"/>
    <n v="126.298"/>
    <n v="0.12857142857142859"/>
    <n v="3.6848571428571434E-4"/>
    <x v="3"/>
  </r>
  <r>
    <x v="483"/>
    <n v="28.765000000000001"/>
    <n v="299.94900000000001"/>
    <n v="0.19152542372881354"/>
    <n v="5.5092288135593212E-3"/>
    <x v="0"/>
  </r>
  <r>
    <x v="484"/>
    <n v="1.304E-2"/>
    <n v="315.34699999999998"/>
    <n v="0.45564516129032256"/>
    <n v="5.9416129032258062E-6"/>
    <x v="1"/>
  </r>
  <r>
    <x v="485"/>
    <n v="50.546999999999997"/>
    <n v="277.584"/>
    <n v="0.30428134556574921"/>
    <n v="1.5380509174311925E-2"/>
    <x v="1"/>
  </r>
  <r>
    <x v="486"/>
    <n v="2.891"/>
    <n v="126.271"/>
    <n v="0.11290322580645162"/>
    <n v="3.2640322580645162E-4"/>
    <x v="3"/>
  </r>
  <r>
    <x v="487"/>
    <n v="12.427"/>
    <n v="235.946"/>
    <n v="0.41785714285714287"/>
    <n v="5.1927107142857145E-3"/>
    <x v="2"/>
  </r>
  <r>
    <x v="488"/>
    <n v="69.704999999999998"/>
    <n v="296.46199999999999"/>
    <n v="0.11176470588235295"/>
    <n v="7.7905588235294117E-3"/>
    <x v="0"/>
  </r>
  <r>
    <x v="489"/>
    <n v="19.689"/>
    <n v="272.18200000000002"/>
    <n v="0.25719424460431656"/>
    <n v="5.063897482014388E-3"/>
    <x v="1"/>
  </r>
  <r>
    <x v="490"/>
    <n v="7.1989999999999998"/>
    <n v="277.80200000000002"/>
    <n v="7.6086956521739135E-2"/>
    <n v="5.4775000000000006E-4"/>
    <x v="0"/>
  </r>
  <r>
    <x v="491"/>
    <n v="7.7380000000000004"/>
    <n v="321.274"/>
    <n v="0.31818181818181823"/>
    <n v="2.4620909090909094E-3"/>
    <x v="1"/>
  </r>
  <r>
    <x v="492"/>
    <n v="76.759"/>
    <n v="327.89699999999999"/>
    <n v="0.11735769501054111"/>
    <n v="9.0082593113141249E-3"/>
    <x v="0"/>
  </r>
  <r>
    <x v="493"/>
    <n v="32.796999999999997"/>
    <n v="251.51400000000001"/>
    <n v="0.10397946084724005"/>
    <n v="3.4102143774069316E-3"/>
    <x v="0"/>
  </r>
  <r>
    <x v="494"/>
    <n v="62.463000000000001"/>
    <n v="310.88799999999998"/>
    <n v="0.29504504504504503"/>
    <n v="1.8429398648648648E-2"/>
    <x v="1"/>
  </r>
  <r>
    <x v="495"/>
    <n v="6.4009999999999998"/>
    <n v="142.953"/>
    <n v="0.43852459016393447"/>
    <n v="2.8069959016393448E-3"/>
    <x v="2"/>
  </r>
  <r>
    <x v="496"/>
    <n v="7.2900000000000006E-2"/>
    <n v="175.679"/>
    <n v="0.30389308541545612"/>
    <n v="2.2153805926786752E-5"/>
    <x v="2"/>
  </r>
  <r>
    <x v="497"/>
    <n v="21.742999999999999"/>
    <n v="242.60499999999999"/>
    <n v="9.8214285714285726E-2"/>
    <n v="2.1354732142857143E-3"/>
    <x v="0"/>
  </r>
  <r>
    <x v="498"/>
    <n v="6.9279999999999999"/>
    <n v="215.51300000000001"/>
    <n v="0.25878594249201281"/>
    <n v="1.7928690095846648E-3"/>
    <x v="2"/>
  </r>
  <r>
    <x v="499"/>
    <n v="6.9640000000000004"/>
    <n v="170.58799999999999"/>
    <n v="0.3048780487804878"/>
    <n v="2.1231707317073169E-3"/>
    <x v="2"/>
  </r>
  <r>
    <x v="500"/>
    <n v="46.082999999999998"/>
    <n v="371.72199999999998"/>
    <n v="0.25488530161427359"/>
    <n v="1.1745879354290568E-2"/>
    <x v="0"/>
  </r>
  <r>
    <x v="501"/>
    <n v="7.0220000000000002"/>
    <n v="0.20293"/>
    <n v="0.41176470588235298"/>
    <n v="2.8914117647058828E-3"/>
    <x v="2"/>
  </r>
  <r>
    <x v="502"/>
    <n v="41.366"/>
    <n v="269.18200000000002"/>
    <n v="0.15256124721603564"/>
    <n v="6.3108485523385308E-3"/>
    <x v="0"/>
  </r>
  <r>
    <x v="503"/>
    <n v="1.302E-2"/>
    <n v="426.87799999999999"/>
    <n v="0.17216981132075471"/>
    <n v="2.241650943396226E-6"/>
    <x v="0"/>
  </r>
  <r>
    <x v="504"/>
    <n v="6.6740000000000004"/>
    <n v="0.19763"/>
    <n v="0.08"/>
    <n v="5.3392000000000001E-4"/>
    <x v="3"/>
  </r>
  <r>
    <x v="505"/>
    <n v="6.9620000000000001E-2"/>
    <n v="317.86900000000003"/>
    <n v="0.24341412012644889"/>
    <n v="1.6946491043203373E-5"/>
    <x v="0"/>
  </r>
  <r>
    <x v="506"/>
    <n v="10.250999999999999"/>
    <n v="287.28500000000003"/>
    <n v="0.19491525423728814"/>
    <n v="1.9980762711864406E-3"/>
    <x v="0"/>
  </r>
  <r>
    <x v="507"/>
    <n v="2.8900000000000002E-3"/>
    <n v="220.095"/>
    <n v="0.39999999999999997"/>
    <n v="1.1559999999999998E-6"/>
    <x v="2"/>
  </r>
  <r>
    <x v="508"/>
    <n v="17.248999999999999"/>
    <n v="296.661"/>
    <n v="0.19277108433734938"/>
    <n v="3.3251084337349393E-3"/>
    <x v="0"/>
  </r>
  <r>
    <x v="509"/>
    <n v="2.7730000000000001"/>
    <n v="152.18899999999999"/>
    <n v="0.11578947368421053"/>
    <n v="3.210842105263158E-4"/>
    <x v="3"/>
  </r>
  <r>
    <x v="510"/>
    <n v="69.756"/>
    <n v="198.36199999999999"/>
    <n v="0.31070889894419301"/>
    <n v="2.1673809954751128E-2"/>
    <x v="2"/>
  </r>
  <r>
    <x v="511"/>
    <n v="2.9510000000000001"/>
    <n v="204.31100000000001"/>
    <n v="0.36111111111111116"/>
    <n v="1.065638888888889E-3"/>
    <x v="2"/>
  </r>
  <r>
    <x v="512"/>
    <n v="23.138000000000002"/>
    <n v="328.11599999999999"/>
    <n v="0.38562091503267976"/>
    <n v="8.9224967320261448E-3"/>
    <x v="1"/>
  </r>
  <r>
    <x v="513"/>
    <n v="5.9479999999999998E-2"/>
    <n v="0.32641000000000003"/>
    <n v="0.31266375545851532"/>
    <n v="1.859724017467249E-5"/>
    <x v="2"/>
  </r>
  <r>
    <x v="514"/>
    <n v="23.071000000000002"/>
    <n v="253.56200000000001"/>
    <n v="0.22202486678507993"/>
    <n v="5.12233570159858E-3"/>
    <x v="0"/>
  </r>
  <r>
    <x v="515"/>
    <n v="33.738999999999997"/>
    <n v="262.19099999999997"/>
    <n v="0.23208722741433022"/>
    <n v="7.8303909657320859E-3"/>
    <x v="0"/>
  </r>
  <r>
    <x v="516"/>
    <n v="13.231999999999999"/>
    <n v="309.85399999999998"/>
    <n v="0.19521912350597612"/>
    <n v="2.5831394422310759E-3"/>
    <x v="0"/>
  </r>
  <r>
    <x v="517"/>
    <n v="11.573"/>
    <n v="309.267"/>
    <n v="0.18852459016393444"/>
    <n v="2.1817950819672132E-3"/>
    <x v="0"/>
  </r>
  <r>
    <x v="518"/>
    <n v="7.0400000000000003E-3"/>
    <n v="195.02199999999999"/>
    <n v="0.2752808988764045"/>
    <n v="1.9379775280898877E-6"/>
    <x v="2"/>
  </r>
  <r>
    <x v="519"/>
    <n v="74.293999999999997"/>
    <n v="320.61599999999999"/>
    <n v="0.22717770034843204"/>
    <n v="1.687794006968641E-2"/>
    <x v="0"/>
  </r>
  <r>
    <x v="520"/>
    <n v="70.989000000000004"/>
    <n v="307.72300000000001"/>
    <n v="0.28535669586983725"/>
    <n v="2.025718648310388E-2"/>
    <x v="1"/>
  </r>
  <r>
    <x v="521"/>
    <n v="13.739000000000001"/>
    <n v="249.51400000000001"/>
    <n v="0.46412556053811654"/>
    <n v="6.3766210762331837E-3"/>
    <x v="1"/>
  </r>
  <r>
    <x v="522"/>
    <n v="64.694999999999993"/>
    <n v="226.202"/>
    <n v="0.22376237623762377"/>
    <n v="1.4476306930693069E-2"/>
    <x v="3"/>
  </r>
  <r>
    <x v="523"/>
    <n v="61.411000000000001"/>
    <n v="287.39299999999997"/>
    <n v="0.19857235561323816"/>
    <n v="1.2194526930564569E-2"/>
    <x v="0"/>
  </r>
  <r>
    <x v="524"/>
    <n v="28.552"/>
    <n v="356.334"/>
    <n v="4.8951048951048959E-2"/>
    <n v="1.3976503496503498E-3"/>
    <x v="0"/>
  </r>
  <r>
    <x v="525"/>
    <n v="5.1459999999999999"/>
    <n v="192.786"/>
    <n v="0"/>
    <n v="0"/>
    <x v="3"/>
  </r>
  <r>
    <x v="526"/>
    <n v="2.6859999999999999"/>
    <n v="53.606999999999999"/>
    <n v="0.7407407407407407"/>
    <n v="1.9896296296296294E-3"/>
    <x v="2"/>
  </r>
  <r>
    <x v="527"/>
    <n v="2.5899999999999999E-3"/>
    <n v="182.24299999999999"/>
    <n v="0.1818181818181818"/>
    <n v="4.7090909090909082E-7"/>
    <x v="3"/>
  </r>
  <r>
    <x v="528"/>
    <n v="9.093"/>
    <n v="243.60499999999999"/>
    <n v="0.16190476190476191"/>
    <n v="1.4722000000000001E-3"/>
    <x v="0"/>
  </r>
  <r>
    <x v="529"/>
    <n v="25.667999999999999"/>
    <n v="312.065"/>
    <n v="0.2077087794432548"/>
    <n v="5.3314689507494642E-3"/>
    <x v="0"/>
  </r>
  <r>
    <x v="530"/>
    <n v="42.628999999999998"/>
    <n v="261.11099999999999"/>
    <n v="0.3781749764816556"/>
    <n v="1.6121221072436496E-2"/>
    <x v="1"/>
  </r>
  <r>
    <x v="531"/>
    <n v="60.664000000000001"/>
    <n v="273.44099999999997"/>
    <n v="0.1009104704097117"/>
    <n v="6.1216327769347502E-3"/>
    <x v="0"/>
  </r>
  <r>
    <x v="532"/>
    <n v="6.2990000000000004"/>
    <n v="468.15199999999999"/>
    <n v="0.26315789473684209"/>
    <n v="1.6576315789473682E-3"/>
    <x v="1"/>
  </r>
  <r>
    <x v="533"/>
    <n v="24.698912026266438"/>
    <n v="238.00982602251389"/>
    <n v="0.25659777491910157"/>
    <n v="5.8146479392515611E-3"/>
    <x v="4"/>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35">
  <r>
    <x v="0"/>
    <x v="0"/>
    <x v="0"/>
  </r>
  <r>
    <x v="1"/>
    <x v="1"/>
    <x v="1"/>
  </r>
  <r>
    <x v="2"/>
    <x v="2"/>
    <x v="2"/>
  </r>
  <r>
    <x v="3"/>
    <x v="3"/>
    <x v="3"/>
  </r>
  <r>
    <x v="4"/>
    <x v="4"/>
    <x v="3"/>
  </r>
  <r>
    <x v="5"/>
    <x v="5"/>
    <x v="3"/>
  </r>
  <r>
    <x v="6"/>
    <x v="0"/>
    <x v="2"/>
  </r>
  <r>
    <x v="7"/>
    <x v="6"/>
    <x v="1"/>
  </r>
  <r>
    <x v="8"/>
    <x v="6"/>
    <x v="2"/>
  </r>
  <r>
    <x v="9"/>
    <x v="7"/>
    <x v="3"/>
  </r>
  <r>
    <x v="10"/>
    <x v="6"/>
    <x v="2"/>
  </r>
  <r>
    <x v="11"/>
    <x v="6"/>
    <x v="3"/>
  </r>
  <r>
    <x v="12"/>
    <x v="8"/>
    <x v="1"/>
  </r>
  <r>
    <x v="13"/>
    <x v="9"/>
    <x v="3"/>
  </r>
  <r>
    <x v="14"/>
    <x v="8"/>
    <x v="1"/>
  </r>
  <r>
    <x v="15"/>
    <x v="3"/>
    <x v="1"/>
  </r>
  <r>
    <x v="16"/>
    <x v="10"/>
    <x v="3"/>
  </r>
  <r>
    <x v="17"/>
    <x v="1"/>
    <x v="1"/>
  </r>
  <r>
    <x v="18"/>
    <x v="2"/>
    <x v="4"/>
  </r>
  <r>
    <x v="19"/>
    <x v="11"/>
    <x v="1"/>
  </r>
  <r>
    <x v="20"/>
    <x v="5"/>
    <x v="1"/>
  </r>
  <r>
    <x v="21"/>
    <x v="12"/>
    <x v="5"/>
  </r>
  <r>
    <x v="22"/>
    <x v="13"/>
    <x v="6"/>
  </r>
  <r>
    <x v="23"/>
    <x v="14"/>
    <x v="7"/>
  </r>
  <r>
    <x v="24"/>
    <x v="0"/>
    <x v="8"/>
  </r>
  <r>
    <x v="25"/>
    <x v="14"/>
    <x v="7"/>
  </r>
  <r>
    <x v="26"/>
    <x v="4"/>
    <x v="9"/>
  </r>
  <r>
    <x v="27"/>
    <x v="15"/>
    <x v="10"/>
  </r>
  <r>
    <x v="28"/>
    <x v="14"/>
    <x v="1"/>
  </r>
  <r>
    <x v="29"/>
    <x v="6"/>
    <x v="1"/>
  </r>
  <r>
    <x v="30"/>
    <x v="0"/>
    <x v="5"/>
  </r>
  <r>
    <x v="31"/>
    <x v="8"/>
    <x v="10"/>
  </r>
  <r>
    <x v="32"/>
    <x v="16"/>
    <x v="10"/>
  </r>
  <r>
    <x v="33"/>
    <x v="11"/>
    <x v="3"/>
  </r>
  <r>
    <x v="34"/>
    <x v="2"/>
    <x v="1"/>
  </r>
  <r>
    <x v="35"/>
    <x v="1"/>
    <x v="11"/>
  </r>
  <r>
    <x v="36"/>
    <x v="17"/>
    <x v="3"/>
  </r>
  <r>
    <x v="37"/>
    <x v="4"/>
    <x v="9"/>
  </r>
  <r>
    <x v="38"/>
    <x v="8"/>
    <x v="3"/>
  </r>
  <r>
    <x v="39"/>
    <x v="18"/>
    <x v="12"/>
  </r>
  <r>
    <x v="40"/>
    <x v="19"/>
    <x v="3"/>
  </r>
  <r>
    <x v="41"/>
    <x v="20"/>
    <x v="13"/>
  </r>
  <r>
    <x v="42"/>
    <x v="17"/>
    <x v="3"/>
  </r>
  <r>
    <x v="43"/>
    <x v="2"/>
    <x v="2"/>
  </r>
  <r>
    <x v="44"/>
    <x v="21"/>
    <x v="14"/>
  </r>
  <r>
    <x v="45"/>
    <x v="2"/>
    <x v="15"/>
  </r>
  <r>
    <x v="46"/>
    <x v="21"/>
    <x v="16"/>
  </r>
  <r>
    <x v="47"/>
    <x v="1"/>
    <x v="10"/>
  </r>
  <r>
    <x v="48"/>
    <x v="17"/>
    <x v="3"/>
  </r>
  <r>
    <x v="49"/>
    <x v="6"/>
    <x v="1"/>
  </r>
  <r>
    <x v="22"/>
    <x v="13"/>
    <x v="3"/>
  </r>
  <r>
    <x v="24"/>
    <x v="22"/>
    <x v="2"/>
  </r>
  <r>
    <x v="50"/>
    <x v="17"/>
    <x v="11"/>
  </r>
  <r>
    <x v="51"/>
    <x v="4"/>
    <x v="9"/>
  </r>
  <r>
    <x v="52"/>
    <x v="1"/>
    <x v="9"/>
  </r>
  <r>
    <x v="53"/>
    <x v="23"/>
    <x v="1"/>
  </r>
  <r>
    <x v="29"/>
    <x v="9"/>
    <x v="4"/>
  </r>
  <r>
    <x v="54"/>
    <x v="18"/>
    <x v="17"/>
  </r>
  <r>
    <x v="55"/>
    <x v="3"/>
    <x v="1"/>
  </r>
  <r>
    <x v="56"/>
    <x v="6"/>
    <x v="1"/>
  </r>
  <r>
    <x v="57"/>
    <x v="3"/>
    <x v="1"/>
  </r>
  <r>
    <x v="31"/>
    <x v="5"/>
    <x v="6"/>
  </r>
  <r>
    <x v="58"/>
    <x v="8"/>
    <x v="7"/>
  </r>
  <r>
    <x v="33"/>
    <x v="11"/>
    <x v="4"/>
  </r>
  <r>
    <x v="34"/>
    <x v="2"/>
    <x v="1"/>
  </r>
  <r>
    <x v="36"/>
    <x v="11"/>
    <x v="3"/>
  </r>
  <r>
    <x v="37"/>
    <x v="4"/>
    <x v="7"/>
  </r>
  <r>
    <x v="59"/>
    <x v="24"/>
    <x v="10"/>
  </r>
  <r>
    <x v="60"/>
    <x v="18"/>
    <x v="17"/>
  </r>
  <r>
    <x v="61"/>
    <x v="15"/>
    <x v="10"/>
  </r>
  <r>
    <x v="62"/>
    <x v="1"/>
    <x v="1"/>
  </r>
  <r>
    <x v="63"/>
    <x v="15"/>
    <x v="3"/>
  </r>
  <r>
    <x v="64"/>
    <x v="6"/>
    <x v="1"/>
  </r>
  <r>
    <x v="65"/>
    <x v="25"/>
    <x v="18"/>
  </r>
  <r>
    <x v="66"/>
    <x v="14"/>
    <x v="7"/>
  </r>
  <r>
    <x v="67"/>
    <x v="0"/>
    <x v="2"/>
  </r>
  <r>
    <x v="68"/>
    <x v="3"/>
    <x v="1"/>
  </r>
  <r>
    <x v="69"/>
    <x v="9"/>
    <x v="4"/>
  </r>
  <r>
    <x v="70"/>
    <x v="25"/>
    <x v="1"/>
  </r>
  <r>
    <x v="71"/>
    <x v="14"/>
    <x v="3"/>
  </r>
  <r>
    <x v="72"/>
    <x v="20"/>
    <x v="13"/>
  </r>
  <r>
    <x v="73"/>
    <x v="17"/>
    <x v="9"/>
  </r>
  <r>
    <x v="74"/>
    <x v="26"/>
    <x v="3"/>
  </r>
  <r>
    <x v="3"/>
    <x v="9"/>
    <x v="6"/>
  </r>
  <r>
    <x v="4"/>
    <x v="4"/>
    <x v="7"/>
  </r>
  <r>
    <x v="8"/>
    <x v="0"/>
    <x v="19"/>
  </r>
  <r>
    <x v="12"/>
    <x v="8"/>
    <x v="1"/>
  </r>
  <r>
    <x v="16"/>
    <x v="0"/>
    <x v="11"/>
  </r>
  <r>
    <x v="75"/>
    <x v="0"/>
    <x v="3"/>
  </r>
  <r>
    <x v="76"/>
    <x v="1"/>
    <x v="4"/>
  </r>
  <r>
    <x v="77"/>
    <x v="18"/>
    <x v="1"/>
  </r>
  <r>
    <x v="78"/>
    <x v="8"/>
    <x v="3"/>
  </r>
  <r>
    <x v="79"/>
    <x v="0"/>
    <x v="2"/>
  </r>
  <r>
    <x v="80"/>
    <x v="3"/>
    <x v="1"/>
  </r>
  <r>
    <x v="81"/>
    <x v="25"/>
    <x v="1"/>
  </r>
  <r>
    <x v="68"/>
    <x v="3"/>
    <x v="1"/>
  </r>
  <r>
    <x v="82"/>
    <x v="25"/>
    <x v="1"/>
  </r>
  <r>
    <x v="83"/>
    <x v="14"/>
    <x v="2"/>
  </r>
  <r>
    <x v="84"/>
    <x v="1"/>
    <x v="4"/>
  </r>
  <r>
    <x v="85"/>
    <x v="18"/>
    <x v="17"/>
  </r>
  <r>
    <x v="86"/>
    <x v="2"/>
    <x v="15"/>
  </r>
  <r>
    <x v="70"/>
    <x v="9"/>
    <x v="4"/>
  </r>
  <r>
    <x v="87"/>
    <x v="5"/>
    <x v="1"/>
  </r>
  <r>
    <x v="88"/>
    <x v="0"/>
    <x v="2"/>
  </r>
  <r>
    <x v="22"/>
    <x v="13"/>
    <x v="3"/>
  </r>
  <r>
    <x v="89"/>
    <x v="23"/>
    <x v="1"/>
  </r>
  <r>
    <x v="90"/>
    <x v="22"/>
    <x v="2"/>
  </r>
  <r>
    <x v="91"/>
    <x v="0"/>
    <x v="20"/>
  </r>
  <r>
    <x v="92"/>
    <x v="0"/>
    <x v="17"/>
  </r>
  <r>
    <x v="93"/>
    <x v="1"/>
    <x v="1"/>
  </r>
  <r>
    <x v="22"/>
    <x v="13"/>
    <x v="3"/>
  </r>
  <r>
    <x v="94"/>
    <x v="0"/>
    <x v="2"/>
  </r>
  <r>
    <x v="95"/>
    <x v="5"/>
    <x v="1"/>
  </r>
  <r>
    <x v="96"/>
    <x v="0"/>
    <x v="2"/>
  </r>
  <r>
    <x v="24"/>
    <x v="9"/>
    <x v="4"/>
  </r>
  <r>
    <x v="25"/>
    <x v="3"/>
    <x v="1"/>
  </r>
  <r>
    <x v="97"/>
    <x v="6"/>
    <x v="1"/>
  </r>
  <r>
    <x v="98"/>
    <x v="17"/>
    <x v="3"/>
  </r>
  <r>
    <x v="99"/>
    <x v="15"/>
    <x v="3"/>
  </r>
  <r>
    <x v="100"/>
    <x v="26"/>
    <x v="2"/>
  </r>
  <r>
    <x v="28"/>
    <x v="27"/>
    <x v="1"/>
  </r>
  <r>
    <x v="101"/>
    <x v="18"/>
    <x v="3"/>
  </r>
  <r>
    <x v="31"/>
    <x v="25"/>
    <x v="6"/>
  </r>
  <r>
    <x v="102"/>
    <x v="18"/>
    <x v="17"/>
  </r>
  <r>
    <x v="58"/>
    <x v="8"/>
    <x v="3"/>
  </r>
  <r>
    <x v="33"/>
    <x v="11"/>
    <x v="3"/>
  </r>
  <r>
    <x v="36"/>
    <x v="17"/>
    <x v="3"/>
  </r>
  <r>
    <x v="103"/>
    <x v="27"/>
    <x v="21"/>
  </r>
  <r>
    <x v="104"/>
    <x v="3"/>
    <x v="1"/>
  </r>
  <r>
    <x v="42"/>
    <x v="19"/>
    <x v="18"/>
  </r>
  <r>
    <x v="7"/>
    <x v="19"/>
    <x v="21"/>
  </r>
  <r>
    <x v="105"/>
    <x v="19"/>
    <x v="21"/>
  </r>
  <r>
    <x v="106"/>
    <x v="21"/>
    <x v="20"/>
  </r>
  <r>
    <x v="107"/>
    <x v="19"/>
    <x v="21"/>
  </r>
  <r>
    <x v="108"/>
    <x v="21"/>
    <x v="20"/>
  </r>
  <r>
    <x v="109"/>
    <x v="19"/>
    <x v="20"/>
  </r>
  <r>
    <x v="46"/>
    <x v="27"/>
    <x v="21"/>
  </r>
  <r>
    <x v="110"/>
    <x v="18"/>
    <x v="17"/>
  </r>
  <r>
    <x v="111"/>
    <x v="27"/>
    <x v="6"/>
  </r>
  <r>
    <x v="112"/>
    <x v="19"/>
    <x v="18"/>
  </r>
  <r>
    <x v="113"/>
    <x v="27"/>
    <x v="2"/>
  </r>
  <r>
    <x v="114"/>
    <x v="19"/>
    <x v="22"/>
  </r>
  <r>
    <x v="115"/>
    <x v="14"/>
    <x v="1"/>
  </r>
  <r>
    <x v="116"/>
    <x v="19"/>
    <x v="22"/>
  </r>
  <r>
    <x v="18"/>
    <x v="15"/>
    <x v="1"/>
  </r>
  <r>
    <x v="71"/>
    <x v="9"/>
    <x v="3"/>
  </r>
  <r>
    <x v="117"/>
    <x v="18"/>
    <x v="16"/>
  </r>
  <r>
    <x v="118"/>
    <x v="1"/>
    <x v="16"/>
  </r>
  <r>
    <x v="36"/>
    <x v="19"/>
    <x v="3"/>
  </r>
  <r>
    <x v="119"/>
    <x v="19"/>
    <x v="23"/>
  </r>
  <r>
    <x v="120"/>
    <x v="19"/>
    <x v="23"/>
  </r>
  <r>
    <x v="39"/>
    <x v="18"/>
    <x v="23"/>
  </r>
  <r>
    <x v="1"/>
    <x v="18"/>
    <x v="2"/>
  </r>
  <r>
    <x v="40"/>
    <x v="19"/>
    <x v="3"/>
  </r>
  <r>
    <x v="121"/>
    <x v="19"/>
    <x v="20"/>
  </r>
  <r>
    <x v="61"/>
    <x v="15"/>
    <x v="10"/>
  </r>
  <r>
    <x v="122"/>
    <x v="18"/>
    <x v="23"/>
  </r>
  <r>
    <x v="7"/>
    <x v="19"/>
    <x v="23"/>
  </r>
  <r>
    <x v="105"/>
    <x v="19"/>
    <x v="21"/>
  </r>
  <r>
    <x v="44"/>
    <x v="21"/>
    <x v="14"/>
  </r>
  <r>
    <x v="106"/>
    <x v="18"/>
    <x v="1"/>
  </r>
  <r>
    <x v="123"/>
    <x v="13"/>
    <x v="3"/>
  </r>
  <r>
    <x v="107"/>
    <x v="21"/>
    <x v="14"/>
  </r>
  <r>
    <x v="124"/>
    <x v="21"/>
    <x v="23"/>
  </r>
  <r>
    <x v="108"/>
    <x v="18"/>
    <x v="23"/>
  </r>
  <r>
    <x v="125"/>
    <x v="21"/>
    <x v="24"/>
  </r>
  <r>
    <x v="46"/>
    <x v="21"/>
    <x v="16"/>
  </r>
  <r>
    <x v="126"/>
    <x v="21"/>
    <x v="23"/>
  </r>
  <r>
    <x v="110"/>
    <x v="18"/>
    <x v="23"/>
  </r>
  <r>
    <x v="127"/>
    <x v="21"/>
    <x v="23"/>
  </r>
  <r>
    <x v="111"/>
    <x v="1"/>
    <x v="6"/>
  </r>
  <r>
    <x v="47"/>
    <x v="1"/>
    <x v="6"/>
  </r>
  <r>
    <x v="68"/>
    <x v="3"/>
    <x v="21"/>
  </r>
  <r>
    <x v="128"/>
    <x v="18"/>
    <x v="23"/>
  </r>
  <r>
    <x v="114"/>
    <x v="19"/>
    <x v="22"/>
  </r>
  <r>
    <x v="129"/>
    <x v="0"/>
    <x v="16"/>
  </r>
  <r>
    <x v="116"/>
    <x v="19"/>
    <x v="22"/>
  </r>
  <r>
    <x v="130"/>
    <x v="19"/>
    <x v="23"/>
  </r>
  <r>
    <x v="131"/>
    <x v="19"/>
    <x v="23"/>
  </r>
  <r>
    <x v="17"/>
    <x v="18"/>
    <x v="1"/>
  </r>
  <r>
    <x v="132"/>
    <x v="18"/>
    <x v="23"/>
  </r>
  <r>
    <x v="19"/>
    <x v="11"/>
    <x v="1"/>
  </r>
  <r>
    <x v="133"/>
    <x v="5"/>
    <x v="3"/>
  </r>
  <r>
    <x v="71"/>
    <x v="9"/>
    <x v="3"/>
  </r>
  <r>
    <x v="134"/>
    <x v="19"/>
    <x v="23"/>
  </r>
  <r>
    <x v="21"/>
    <x v="19"/>
    <x v="21"/>
  </r>
  <r>
    <x v="22"/>
    <x v="13"/>
    <x v="3"/>
  </r>
  <r>
    <x v="94"/>
    <x v="27"/>
    <x v="25"/>
  </r>
  <r>
    <x v="25"/>
    <x v="27"/>
    <x v="21"/>
  </r>
  <r>
    <x v="98"/>
    <x v="17"/>
    <x v="11"/>
  </r>
  <r>
    <x v="135"/>
    <x v="19"/>
    <x v="25"/>
  </r>
  <r>
    <x v="28"/>
    <x v="27"/>
    <x v="26"/>
  </r>
  <r>
    <x v="136"/>
    <x v="18"/>
    <x v="27"/>
  </r>
  <r>
    <x v="137"/>
    <x v="28"/>
    <x v="3"/>
  </r>
  <r>
    <x v="55"/>
    <x v="18"/>
    <x v="27"/>
  </r>
  <r>
    <x v="138"/>
    <x v="28"/>
    <x v="1"/>
  </r>
  <r>
    <x v="139"/>
    <x v="2"/>
    <x v="1"/>
  </r>
  <r>
    <x v="140"/>
    <x v="11"/>
    <x v="4"/>
  </r>
  <r>
    <x v="101"/>
    <x v="18"/>
    <x v="3"/>
  </r>
  <r>
    <x v="141"/>
    <x v="17"/>
    <x v="9"/>
  </r>
  <r>
    <x v="102"/>
    <x v="18"/>
    <x v="27"/>
  </r>
  <r>
    <x v="142"/>
    <x v="18"/>
    <x v="27"/>
  </r>
  <r>
    <x v="143"/>
    <x v="3"/>
    <x v="1"/>
  </r>
  <r>
    <x v="58"/>
    <x v="8"/>
    <x v="7"/>
  </r>
  <r>
    <x v="144"/>
    <x v="2"/>
    <x v="1"/>
  </r>
  <r>
    <x v="145"/>
    <x v="19"/>
    <x v="22"/>
  </r>
  <r>
    <x v="35"/>
    <x v="2"/>
    <x v="1"/>
  </r>
  <r>
    <x v="146"/>
    <x v="18"/>
    <x v="23"/>
  </r>
  <r>
    <x v="147"/>
    <x v="0"/>
    <x v="2"/>
  </r>
  <r>
    <x v="148"/>
    <x v="19"/>
    <x v="28"/>
  </r>
  <r>
    <x v="149"/>
    <x v="11"/>
    <x v="23"/>
  </r>
  <r>
    <x v="72"/>
    <x v="20"/>
    <x v="13"/>
  </r>
  <r>
    <x v="3"/>
    <x v="9"/>
    <x v="6"/>
  </r>
  <r>
    <x v="150"/>
    <x v="22"/>
    <x v="23"/>
  </r>
  <r>
    <x v="4"/>
    <x v="7"/>
    <x v="23"/>
  </r>
  <r>
    <x v="11"/>
    <x v="0"/>
    <x v="3"/>
  </r>
  <r>
    <x v="151"/>
    <x v="19"/>
    <x v="23"/>
  </r>
  <r>
    <x v="66"/>
    <x v="19"/>
    <x v="28"/>
  </r>
  <r>
    <x v="152"/>
    <x v="27"/>
    <x v="23"/>
  </r>
  <r>
    <x v="153"/>
    <x v="13"/>
    <x v="4"/>
  </r>
  <r>
    <x v="154"/>
    <x v="27"/>
    <x v="20"/>
  </r>
  <r>
    <x v="155"/>
    <x v="3"/>
    <x v="1"/>
  </r>
  <r>
    <x v="156"/>
    <x v="21"/>
    <x v="1"/>
  </r>
  <r>
    <x v="157"/>
    <x v="27"/>
    <x v="23"/>
  </r>
  <r>
    <x v="75"/>
    <x v="0"/>
    <x v="3"/>
  </r>
  <r>
    <x v="158"/>
    <x v="21"/>
    <x v="14"/>
  </r>
  <r>
    <x v="159"/>
    <x v="15"/>
    <x v="3"/>
  </r>
  <r>
    <x v="160"/>
    <x v="15"/>
    <x v="29"/>
  </r>
  <r>
    <x v="161"/>
    <x v="6"/>
    <x v="1"/>
  </r>
  <r>
    <x v="1"/>
    <x v="18"/>
    <x v="2"/>
  </r>
  <r>
    <x v="162"/>
    <x v="1"/>
    <x v="6"/>
  </r>
  <r>
    <x v="40"/>
    <x v="19"/>
    <x v="3"/>
  </r>
  <r>
    <x v="103"/>
    <x v="21"/>
    <x v="16"/>
  </r>
  <r>
    <x v="163"/>
    <x v="6"/>
    <x v="1"/>
  </r>
  <r>
    <x v="72"/>
    <x v="21"/>
    <x v="30"/>
  </r>
  <r>
    <x v="73"/>
    <x v="1"/>
    <x v="7"/>
  </r>
  <r>
    <x v="3"/>
    <x v="9"/>
    <x v="3"/>
  </r>
  <r>
    <x v="42"/>
    <x v="19"/>
    <x v="22"/>
  </r>
  <r>
    <x v="7"/>
    <x v="19"/>
    <x v="21"/>
  </r>
  <r>
    <x v="105"/>
    <x v="19"/>
    <x v="21"/>
  </r>
  <r>
    <x v="164"/>
    <x v="1"/>
    <x v="1"/>
  </r>
  <r>
    <x v="123"/>
    <x v="13"/>
    <x v="3"/>
  </r>
  <r>
    <x v="165"/>
    <x v="27"/>
    <x v="20"/>
  </r>
  <r>
    <x v="126"/>
    <x v="1"/>
    <x v="10"/>
  </r>
  <r>
    <x v="68"/>
    <x v="3"/>
    <x v="21"/>
  </r>
  <r>
    <x v="112"/>
    <x v="1"/>
    <x v="6"/>
  </r>
  <r>
    <x v="166"/>
    <x v="19"/>
    <x v="22"/>
  </r>
  <r>
    <x v="116"/>
    <x v="19"/>
    <x v="22"/>
  </r>
  <r>
    <x v="130"/>
    <x v="1"/>
    <x v="14"/>
  </r>
  <r>
    <x v="17"/>
    <x v="18"/>
    <x v="2"/>
  </r>
  <r>
    <x v="132"/>
    <x v="18"/>
    <x v="6"/>
  </r>
  <r>
    <x v="19"/>
    <x v="11"/>
    <x v="1"/>
  </r>
  <r>
    <x v="167"/>
    <x v="1"/>
    <x v="21"/>
  </r>
  <r>
    <x v="168"/>
    <x v="0"/>
    <x v="2"/>
  </r>
  <r>
    <x v="169"/>
    <x v="21"/>
    <x v="31"/>
  </r>
  <r>
    <x v="21"/>
    <x v="14"/>
    <x v="3"/>
  </r>
  <r>
    <x v="22"/>
    <x v="13"/>
    <x v="10"/>
  </r>
  <r>
    <x v="170"/>
    <x v="9"/>
    <x v="4"/>
  </r>
  <r>
    <x v="137"/>
    <x v="1"/>
    <x v="32"/>
  </r>
  <r>
    <x v="54"/>
    <x v="25"/>
    <x v="2"/>
  </r>
  <r>
    <x v="56"/>
    <x v="1"/>
    <x v="4"/>
  </r>
  <r>
    <x v="57"/>
    <x v="3"/>
    <x v="33"/>
  </r>
  <r>
    <x v="171"/>
    <x v="3"/>
    <x v="1"/>
  </r>
  <r>
    <x v="31"/>
    <x v="8"/>
    <x v="6"/>
  </r>
  <r>
    <x v="172"/>
    <x v="25"/>
    <x v="3"/>
  </r>
  <r>
    <x v="144"/>
    <x v="0"/>
    <x v="33"/>
  </r>
  <r>
    <x v="173"/>
    <x v="1"/>
    <x v="1"/>
  </r>
  <r>
    <x v="174"/>
    <x v="6"/>
    <x v="2"/>
  </r>
  <r>
    <x v="175"/>
    <x v="18"/>
    <x v="34"/>
  </r>
  <r>
    <x v="176"/>
    <x v="17"/>
    <x v="9"/>
  </r>
  <r>
    <x v="149"/>
    <x v="19"/>
    <x v="20"/>
  </r>
  <r>
    <x v="78"/>
    <x v="8"/>
    <x v="14"/>
  </r>
  <r>
    <x v="177"/>
    <x v="8"/>
    <x v="7"/>
  </r>
  <r>
    <x v="151"/>
    <x v="19"/>
    <x v="26"/>
  </r>
  <r>
    <x v="178"/>
    <x v="29"/>
    <x v="20"/>
  </r>
  <r>
    <x v="152"/>
    <x v="7"/>
    <x v="18"/>
  </r>
  <r>
    <x v="153"/>
    <x v="20"/>
    <x v="13"/>
  </r>
  <r>
    <x v="179"/>
    <x v="27"/>
    <x v="20"/>
  </r>
  <r>
    <x v="180"/>
    <x v="9"/>
    <x v="3"/>
  </r>
  <r>
    <x v="181"/>
    <x v="19"/>
    <x v="28"/>
  </r>
  <r>
    <x v="156"/>
    <x v="21"/>
    <x v="1"/>
  </r>
  <r>
    <x v="82"/>
    <x v="0"/>
    <x v="20"/>
  </r>
  <r>
    <x v="182"/>
    <x v="3"/>
    <x v="1"/>
  </r>
  <r>
    <x v="83"/>
    <x v="19"/>
    <x v="35"/>
  </r>
  <r>
    <x v="183"/>
    <x v="17"/>
    <x v="21"/>
  </r>
  <r>
    <x v="69"/>
    <x v="19"/>
    <x v="25"/>
  </r>
  <r>
    <x v="157"/>
    <x v="27"/>
    <x v="25"/>
  </r>
  <r>
    <x v="158"/>
    <x v="21"/>
    <x v="14"/>
  </r>
  <r>
    <x v="38"/>
    <x v="3"/>
    <x v="1"/>
  </r>
  <r>
    <x v="39"/>
    <x v="18"/>
    <x v="25"/>
  </r>
  <r>
    <x v="60"/>
    <x v="3"/>
    <x v="1"/>
  </r>
  <r>
    <x v="184"/>
    <x v="2"/>
    <x v="15"/>
  </r>
  <r>
    <x v="185"/>
    <x v="3"/>
    <x v="1"/>
  </r>
  <r>
    <x v="186"/>
    <x v="3"/>
    <x v="1"/>
  </r>
  <r>
    <x v="187"/>
    <x v="1"/>
    <x v="4"/>
  </r>
  <r>
    <x v="149"/>
    <x v="19"/>
    <x v="20"/>
  </r>
  <r>
    <x v="188"/>
    <x v="0"/>
    <x v="35"/>
  </r>
  <r>
    <x v="78"/>
    <x v="3"/>
    <x v="1"/>
  </r>
  <r>
    <x v="42"/>
    <x v="19"/>
    <x v="11"/>
  </r>
  <r>
    <x v="65"/>
    <x v="0"/>
    <x v="20"/>
  </r>
  <r>
    <x v="151"/>
    <x v="1"/>
    <x v="1"/>
  </r>
  <r>
    <x v="66"/>
    <x v="1"/>
    <x v="11"/>
  </r>
  <r>
    <x v="189"/>
    <x v="22"/>
    <x v="17"/>
  </r>
  <r>
    <x v="154"/>
    <x v="27"/>
    <x v="20"/>
  </r>
  <r>
    <x v="181"/>
    <x v="15"/>
    <x v="10"/>
  </r>
  <r>
    <x v="166"/>
    <x v="17"/>
    <x v="3"/>
  </r>
  <r>
    <x v="156"/>
    <x v="21"/>
    <x v="1"/>
  </r>
  <r>
    <x v="190"/>
    <x v="3"/>
    <x v="1"/>
  </r>
  <r>
    <x v="191"/>
    <x v="21"/>
    <x v="31"/>
  </r>
  <r>
    <x v="69"/>
    <x v="19"/>
    <x v="26"/>
  </r>
  <r>
    <x v="133"/>
    <x v="0"/>
    <x v="2"/>
  </r>
  <r>
    <x v="71"/>
    <x v="9"/>
    <x v="3"/>
  </r>
  <r>
    <x v="169"/>
    <x v="21"/>
    <x v="8"/>
  </r>
  <r>
    <x v="158"/>
    <x v="21"/>
    <x v="14"/>
  </r>
  <r>
    <x v="192"/>
    <x v="27"/>
    <x v="21"/>
  </r>
  <r>
    <x v="193"/>
    <x v="13"/>
    <x v="1"/>
  </r>
  <r>
    <x v="194"/>
    <x v="6"/>
    <x v="1"/>
  </r>
  <r>
    <x v="195"/>
    <x v="8"/>
    <x v="3"/>
  </r>
  <r>
    <x v="196"/>
    <x v="17"/>
    <x v="3"/>
  </r>
  <r>
    <x v="197"/>
    <x v="17"/>
    <x v="10"/>
  </r>
  <r>
    <x v="74"/>
    <x v="26"/>
    <x v="3"/>
  </r>
  <r>
    <x v="3"/>
    <x v="9"/>
    <x v="3"/>
  </r>
  <r>
    <x v="198"/>
    <x v="18"/>
    <x v="17"/>
  </r>
  <r>
    <x v="199"/>
    <x v="3"/>
    <x v="1"/>
  </r>
  <r>
    <x v="200"/>
    <x v="15"/>
    <x v="10"/>
  </r>
  <r>
    <x v="106"/>
    <x v="1"/>
    <x v="1"/>
  </r>
  <r>
    <x v="201"/>
    <x v="1"/>
    <x v="4"/>
  </r>
  <r>
    <x v="202"/>
    <x v="6"/>
    <x v="1"/>
  </r>
  <r>
    <x v="203"/>
    <x v="6"/>
    <x v="1"/>
  </r>
  <r>
    <x v="68"/>
    <x v="3"/>
    <x v="1"/>
  </r>
  <r>
    <x v="17"/>
    <x v="1"/>
    <x v="1"/>
  </r>
  <r>
    <x v="204"/>
    <x v="3"/>
    <x v="1"/>
  </r>
  <r>
    <x v="19"/>
    <x v="11"/>
    <x v="1"/>
  </r>
  <r>
    <x v="205"/>
    <x v="23"/>
    <x v="2"/>
  </r>
  <r>
    <x v="75"/>
    <x v="0"/>
    <x v="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AF02A732-6C46-42B7-8D04-B4214CD22D5B}" name="PivotTable3"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A3:F111" firstHeaderRow="0" firstDataRow="1" firstDataCol="1"/>
  <pivotFields count="6">
    <pivotField axis="axisRow" showAll="0">
      <items count="53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33"/>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t="default"/>
      </items>
    </pivotField>
    <pivotField dataField="1" showAll="0"/>
    <pivotField dataField="1" showAll="0"/>
    <pivotField dataField="1" showAll="0"/>
    <pivotField dataField="1" showAll="0"/>
    <pivotField dataField="1" showAll="0">
      <items count="6">
        <item h="1" x="0"/>
        <item h="1" x="1"/>
        <item h="1" x="2"/>
        <item x="3"/>
        <item h="1" x="4"/>
        <item t="default"/>
      </items>
    </pivotField>
  </pivotFields>
  <rowFields count="1">
    <field x="0"/>
  </rowFields>
  <rowItems count="108">
    <i>
      <x v="6"/>
    </i>
    <i>
      <x v="11"/>
    </i>
    <i>
      <x v="13"/>
    </i>
    <i>
      <x v="18"/>
    </i>
    <i>
      <x v="33"/>
    </i>
    <i>
      <x v="35"/>
    </i>
    <i>
      <x v="36"/>
    </i>
    <i>
      <x v="39"/>
    </i>
    <i>
      <x v="61"/>
    </i>
    <i>
      <x v="63"/>
    </i>
    <i>
      <x v="67"/>
    </i>
    <i>
      <x v="70"/>
    </i>
    <i>
      <x v="71"/>
    </i>
    <i>
      <x v="84"/>
    </i>
    <i>
      <x v="98"/>
    </i>
    <i>
      <x v="100"/>
    </i>
    <i>
      <x v="116"/>
    </i>
    <i>
      <x v="117"/>
    </i>
    <i>
      <x v="118"/>
    </i>
    <i>
      <x v="122"/>
    </i>
    <i>
      <x v="125"/>
    </i>
    <i>
      <x v="126"/>
    </i>
    <i>
      <x v="130"/>
    </i>
    <i>
      <x v="131"/>
    </i>
    <i>
      <x v="134"/>
    </i>
    <i>
      <x v="143"/>
    </i>
    <i>
      <x v="146"/>
    </i>
    <i>
      <x v="153"/>
    </i>
    <i>
      <x v="160"/>
    </i>
    <i>
      <x v="164"/>
    </i>
    <i>
      <x v="180"/>
    </i>
    <i>
      <x v="200"/>
    </i>
    <i>
      <x v="202"/>
    </i>
    <i>
      <x v="206"/>
    </i>
    <i>
      <x v="213"/>
    </i>
    <i>
      <x v="219"/>
    </i>
    <i>
      <x v="227"/>
    </i>
    <i>
      <x v="230"/>
    </i>
    <i>
      <x v="232"/>
    </i>
    <i>
      <x v="233"/>
    </i>
    <i>
      <x v="240"/>
    </i>
    <i>
      <x v="243"/>
    </i>
    <i>
      <x v="247"/>
    </i>
    <i>
      <x v="250"/>
    </i>
    <i>
      <x v="251"/>
    </i>
    <i>
      <x v="262"/>
    </i>
    <i>
      <x v="271"/>
    </i>
    <i>
      <x v="272"/>
    </i>
    <i>
      <x v="285"/>
    </i>
    <i>
      <x v="287"/>
    </i>
    <i>
      <x v="291"/>
    </i>
    <i>
      <x v="292"/>
    </i>
    <i>
      <x v="297"/>
    </i>
    <i>
      <x v="299"/>
    </i>
    <i>
      <x v="300"/>
    </i>
    <i>
      <x v="305"/>
    </i>
    <i>
      <x v="307"/>
    </i>
    <i>
      <x v="323"/>
    </i>
    <i>
      <x v="325"/>
    </i>
    <i>
      <x v="328"/>
    </i>
    <i>
      <x v="329"/>
    </i>
    <i>
      <x v="330"/>
    </i>
    <i>
      <x v="335"/>
    </i>
    <i>
      <x v="336"/>
    </i>
    <i>
      <x v="338"/>
    </i>
    <i>
      <x v="346"/>
    </i>
    <i>
      <x v="347"/>
    </i>
    <i>
      <x v="349"/>
    </i>
    <i>
      <x v="355"/>
    </i>
    <i>
      <x v="361"/>
    </i>
    <i>
      <x v="362"/>
    </i>
    <i>
      <x v="367"/>
    </i>
    <i>
      <x v="371"/>
    </i>
    <i>
      <x v="372"/>
    </i>
    <i>
      <x v="387"/>
    </i>
    <i>
      <x v="388"/>
    </i>
    <i>
      <x v="390"/>
    </i>
    <i>
      <x v="394"/>
    </i>
    <i>
      <x v="395"/>
    </i>
    <i>
      <x v="399"/>
    </i>
    <i>
      <x v="403"/>
    </i>
    <i>
      <x v="404"/>
    </i>
    <i>
      <x v="407"/>
    </i>
    <i>
      <x v="412"/>
    </i>
    <i>
      <x v="416"/>
    </i>
    <i>
      <x v="417"/>
    </i>
    <i>
      <x v="420"/>
    </i>
    <i>
      <x v="425"/>
    </i>
    <i>
      <x v="427"/>
    </i>
    <i>
      <x v="432"/>
    </i>
    <i>
      <x v="438"/>
    </i>
    <i>
      <x v="439"/>
    </i>
    <i>
      <x v="446"/>
    </i>
    <i>
      <x v="456"/>
    </i>
    <i>
      <x v="459"/>
    </i>
    <i>
      <x v="461"/>
    </i>
    <i>
      <x v="462"/>
    </i>
    <i>
      <x v="470"/>
    </i>
    <i>
      <x v="480"/>
    </i>
    <i>
      <x v="482"/>
    </i>
    <i>
      <x v="483"/>
    </i>
    <i>
      <x v="487"/>
    </i>
    <i>
      <x v="505"/>
    </i>
    <i>
      <x v="510"/>
    </i>
    <i>
      <x v="523"/>
    </i>
    <i>
      <x v="526"/>
    </i>
    <i>
      <x v="528"/>
    </i>
    <i t="grand">
      <x/>
    </i>
  </rowItems>
  <colFields count="1">
    <field x="-2"/>
  </colFields>
  <colItems count="5">
    <i>
      <x/>
    </i>
    <i i="1">
      <x v="1"/>
    </i>
    <i i="2">
      <x v="2"/>
    </i>
    <i i="3">
      <x v="3"/>
    </i>
    <i i="4">
      <x v="4"/>
    </i>
  </colItems>
  <dataFields count="5">
    <dataField name="Sum of Logged_Hours" fld="1" baseField="0" baseItem="0"/>
    <dataField name="Average of Stow_Rate" fld="2" subtotal="average" baseField="0" baseItem="0"/>
    <dataField name="Sum of Unknown Idle %" fld="3" baseField="0" baseItem="0"/>
    <dataField name="Sum of Horas Unknown" fld="4" baseField="0" baseItem="0"/>
    <dataField name="Sum of Grupos" fld="5"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0735339-51AF-4F80-AE7F-0CCF78679C63}" name="PivotTable1" cacheId="4"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A3:B14" firstHeaderRow="1" firstDataRow="1" firstDataCol="1"/>
  <pivotFields count="3">
    <pivotField axis="axisRow" showAll="0" measureFilter="1">
      <items count="207">
        <item x="173"/>
        <item x="117"/>
        <item x="118"/>
        <item x="159"/>
        <item x="21"/>
        <item x="36"/>
        <item x="37"/>
        <item x="146"/>
        <item x="119"/>
        <item x="38"/>
        <item x="120"/>
        <item x="59"/>
        <item x="39"/>
        <item x="0"/>
        <item x="193"/>
        <item x="147"/>
        <item x="148"/>
        <item x="22"/>
        <item x="23"/>
        <item x="160"/>
        <item x="60"/>
        <item x="94"/>
        <item x="184"/>
        <item x="194"/>
        <item x="89"/>
        <item x="195"/>
        <item x="161"/>
        <item x="1"/>
        <item x="175"/>
        <item x="162"/>
        <item x="90"/>
        <item x="95"/>
        <item x="96"/>
        <item x="24"/>
        <item x="40"/>
        <item x="25"/>
        <item x="77"/>
        <item x="103"/>
        <item x="121"/>
        <item x="185"/>
        <item x="186"/>
        <item x="187"/>
        <item x="61"/>
        <item x="176"/>
        <item x="104"/>
        <item x="149"/>
        <item x="62"/>
        <item x="2"/>
        <item x="97"/>
        <item x="98"/>
        <item x="163"/>
        <item x="196"/>
        <item x="91"/>
        <item x="72"/>
        <item x="197"/>
        <item x="73"/>
        <item x="74"/>
        <item x="3"/>
        <item x="26"/>
        <item x="41"/>
        <item x="92"/>
        <item x="150"/>
        <item x="188"/>
        <item x="4"/>
        <item x="27"/>
        <item x="122"/>
        <item x="78"/>
        <item x="5"/>
        <item x="42"/>
        <item x="6"/>
        <item x="63"/>
        <item x="79"/>
        <item x="43"/>
        <item x="7"/>
        <item x="105"/>
        <item x="8"/>
        <item x="99"/>
        <item x="44"/>
        <item x="100"/>
        <item x="50"/>
        <item x="9"/>
        <item x="10"/>
        <item x="198"/>
        <item x="177"/>
        <item x="64"/>
        <item x="199"/>
        <item x="80"/>
        <item x="51"/>
        <item x="52"/>
        <item x="45"/>
        <item x="200"/>
        <item x="135"/>
        <item x="106"/>
        <item x="65"/>
        <item x="11"/>
        <item x="28"/>
        <item x="164"/>
        <item x="170"/>
        <item x="136"/>
        <item x="123"/>
        <item x="165"/>
        <item x="201"/>
        <item x="202"/>
        <item x="107"/>
        <item x="203"/>
        <item x="151"/>
        <item x="66"/>
        <item x="178"/>
        <item x="189"/>
        <item x="152"/>
        <item x="124"/>
        <item x="67"/>
        <item x="108"/>
        <item x="153"/>
        <item x="125"/>
        <item x="109"/>
        <item x="53"/>
        <item x="12"/>
        <item x="46"/>
        <item x="154"/>
        <item x="179"/>
        <item x="29"/>
        <item x="180"/>
        <item x="126"/>
        <item x="155"/>
        <item x="110"/>
        <item x="127"/>
        <item x="111"/>
        <item x="137"/>
        <item x="47"/>
        <item x="54"/>
        <item x="181"/>
        <item x="81"/>
        <item x="68"/>
        <item x="112"/>
        <item x="166"/>
        <item x="128"/>
        <item x="113"/>
        <item x="156"/>
        <item x="55"/>
        <item x="138"/>
        <item x="114"/>
        <item x="139"/>
        <item x="13"/>
        <item x="129"/>
        <item x="82"/>
        <item x="56"/>
        <item x="115"/>
        <item x="116"/>
        <item x="14"/>
        <item x="182"/>
        <item x="83"/>
        <item x="130"/>
        <item x="57"/>
        <item x="15"/>
        <item x="183"/>
        <item x="30"/>
        <item x="16"/>
        <item x="140"/>
        <item x="84"/>
        <item x="101"/>
        <item x="171"/>
        <item x="131"/>
        <item x="141"/>
        <item x="85"/>
        <item x="17"/>
        <item x="86"/>
        <item x="132"/>
        <item x="190"/>
        <item x="31"/>
        <item x="172"/>
        <item x="102"/>
        <item x="142"/>
        <item x="18"/>
        <item x="48"/>
        <item x="93"/>
        <item x="204"/>
        <item x="191"/>
        <item x="19"/>
        <item x="69"/>
        <item x="143"/>
        <item x="32"/>
        <item x="58"/>
        <item x="167"/>
        <item x="144"/>
        <item x="133"/>
        <item x="33"/>
        <item x="168"/>
        <item x="70"/>
        <item x="145"/>
        <item x="71"/>
        <item x="20"/>
        <item x="34"/>
        <item x="205"/>
        <item x="134"/>
        <item x="157"/>
        <item x="87"/>
        <item x="49"/>
        <item x="35"/>
        <item x="75"/>
        <item x="169"/>
        <item x="158"/>
        <item x="192"/>
        <item x="174"/>
        <item x="88"/>
        <item x="76"/>
        <item t="default"/>
      </items>
    </pivotField>
    <pivotField dataField="1" showAll="0"/>
    <pivotField showAll="0"/>
  </pivotFields>
  <rowFields count="1">
    <field x="0"/>
  </rowFields>
  <rowItems count="11">
    <i>
      <x v="5"/>
    </i>
    <i>
      <x v="17"/>
    </i>
    <i>
      <x v="57"/>
    </i>
    <i>
      <x v="68"/>
    </i>
    <i>
      <x v="73"/>
    </i>
    <i>
      <x v="133"/>
    </i>
    <i>
      <x v="165"/>
    </i>
    <i>
      <x v="169"/>
    </i>
    <i>
      <x v="178"/>
    </i>
    <i>
      <x v="190"/>
    </i>
    <i t="grand">
      <x/>
    </i>
  </rowItems>
  <colItems count="1">
    <i/>
  </colItems>
  <dataFields count="1">
    <dataField name="Count of Expected_task" fld="1" subtotal="count" baseField="0" baseItem="5"/>
  </dataFields>
  <pivotTableStyleInfo name="PivotStyleLight16" showRowHeaders="1" showColHeaders="1" showRowStripes="0" showColStripes="0" showLastColumn="1"/>
  <filters count="1">
    <filter fld="0" type="valueGreaterThanOrEqual" evalOrder="-1" id="5" iMeasureFld="0">
      <autoFilter ref="A1">
        <filterColumn colId="0">
          <customFilters>
            <customFilter operator="greaterThanOrEqual" val="4"/>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DDD14BAF-A077-487E-AFF4-D61986907E1F}" name="PivotTable2" cacheId="35"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A3:B34" firstHeaderRow="1" firstDataRow="1" firstDataCol="1"/>
  <pivotFields count="2">
    <pivotField axis="axisRow" allDrilled="1" subtotalTop="0" showAll="0" dataSourceSort="1" defaultSubtotal="0" defaultAttributeDrillState="1">
      <items count="30">
        <item x="0"/>
        <item x="1"/>
        <item x="2"/>
        <item x="3"/>
        <item x="4"/>
        <item x="5"/>
        <item x="6"/>
        <item x="7"/>
        <item x="8"/>
        <item x="9"/>
        <item x="10"/>
        <item x="11"/>
        <item x="12"/>
        <item x="13"/>
        <item x="14"/>
        <item x="15"/>
        <item x="16"/>
        <item x="17"/>
        <item x="18"/>
        <item x="19"/>
        <item x="20"/>
        <item x="21"/>
        <item x="22"/>
        <item x="23"/>
        <item x="24"/>
        <item x="25"/>
        <item x="26"/>
        <item x="27"/>
        <item x="28"/>
        <item x="29"/>
      </items>
    </pivotField>
    <pivotField dataField="1" subtotalTop="0" showAll="0" defaultSubtotal="0"/>
  </pivotFields>
  <rowFields count="1">
    <field x="0"/>
  </rowFields>
  <rowItems count="3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t="grand">
      <x/>
    </i>
  </rowItems>
  <colItems count="1">
    <i/>
  </colItems>
  <dataFields count="1">
    <dataField name="Count of Expected_task" fld="1" subtotal="count" baseField="0" baseItem="0"/>
  </dataFields>
  <pivotHierarchies count="7">
    <pivotHierarchy dragToData="1"/>
    <pivotHierarchy dragToData="1"/>
    <pivotHierarchy dragToData="1"/>
    <pivotHierarchy dragToRow="0" dragToCol="0" dragToPage="0" dragToData="1"/>
    <pivotHierarchy dragToRow="0" dragToCol="0" dragToPage="0" dragToData="1"/>
    <pivotHierarchy dragToData="1"/>
    <pivotHierarchy dragToData="1"/>
  </pivotHierarchies>
  <pivotTableStyleInfo name="PivotStyleLight16" showRowHeaders="1" showColHeaders="1" showRowStripes="0" showColStripes="0" showLastColumn="1"/>
  <rowHierarchiesUsage count="1">
    <rowHierarchyUsage hierarchyUsage="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ALLOC!$A$1:$C$336">
        <x15:activeTabTopLevelEntity name="[Rang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AA2329B4-6F1F-4C1C-BC88-FB4BE6D2D5E0}" name="PivotTable1" cacheId="4"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A3:B40" firstHeaderRow="1" firstDataRow="1" firstDataCol="1"/>
  <pivotFields count="3">
    <pivotField showAll="0"/>
    <pivotField showAll="0">
      <items count="31">
        <item x="8"/>
        <item x="17"/>
        <item x="7"/>
        <item x="1"/>
        <item x="11"/>
        <item x="4"/>
        <item x="20"/>
        <item x="10"/>
        <item x="9"/>
        <item x="23"/>
        <item x="13"/>
        <item x="16"/>
        <item x="24"/>
        <item x="15"/>
        <item x="12"/>
        <item x="5"/>
        <item x="26"/>
        <item x="2"/>
        <item x="21"/>
        <item x="27"/>
        <item x="19"/>
        <item x="25"/>
        <item x="22"/>
        <item x="29"/>
        <item x="6"/>
        <item x="18"/>
        <item x="3"/>
        <item x="0"/>
        <item x="14"/>
        <item x="28"/>
        <item t="default"/>
      </items>
    </pivotField>
    <pivotField axis="axisRow" dataField="1" showAll="0">
      <items count="37">
        <item x="12"/>
        <item x="27"/>
        <item x="25"/>
        <item x="26"/>
        <item x="11"/>
        <item x="7"/>
        <item x="17"/>
        <item x="3"/>
        <item x="9"/>
        <item x="34"/>
        <item x="13"/>
        <item x="30"/>
        <item x="0"/>
        <item x="32"/>
        <item x="5"/>
        <item x="10"/>
        <item x="6"/>
        <item x="15"/>
        <item x="33"/>
        <item x="21"/>
        <item x="22"/>
        <item x="31"/>
        <item x="16"/>
        <item x="28"/>
        <item x="14"/>
        <item x="24"/>
        <item x="4"/>
        <item x="18"/>
        <item x="19"/>
        <item x="23"/>
        <item x="35"/>
        <item x="8"/>
        <item x="20"/>
        <item x="29"/>
        <item x="2"/>
        <item x="1"/>
        <item t="default"/>
      </items>
    </pivotField>
  </pivotFields>
  <rowFields count="1">
    <field x="2"/>
  </rowFields>
  <rowItems count="37">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t="grand">
      <x/>
    </i>
  </rowItems>
  <colItems count="1">
    <i/>
  </colItems>
  <dataFields count="1">
    <dataField name="Count of Actual_task"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rupos" xr10:uid="{E1CC6078-7C7E-4EB5-BE19-2B0B8C252248}" sourceName="Grupos">
  <pivotTables>
    <pivotTable tabId="10" name="PivotTable3"/>
  </pivotTables>
  <data>
    <tabular pivotCacheId="1421082737">
      <items count="5">
        <i x="0"/>
        <i x="1"/>
        <i x="2"/>
        <i x="3" s="1"/>
        <i x="4"/>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Grupos" xr10:uid="{D04F156F-1F70-419A-B332-2E1F8D4DAC12}" cache="Slicer_Grupos" caption="Grupos"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ivotTable" Target="../pivotTables/pivotTable1.xml"/></Relationships>
</file>

<file path=xl/worksheets/_rels/sheet6.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pivotTable" Target="../pivotTables/pivotTable2.xml"/></Relationships>
</file>

<file path=xl/worksheets/_rels/sheet7.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8.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0.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149768-41BB-4395-8C9A-8C69A82D2CD1}">
  <sheetPr codeName="Sheet2"/>
  <dimension ref="A1:G1072"/>
  <sheetViews>
    <sheetView zoomScaleNormal="100" workbookViewId="0">
      <selection activeCell="G4" sqref="G4"/>
    </sheetView>
  </sheetViews>
  <sheetFormatPr defaultRowHeight="14.5" x14ac:dyDescent="0.35"/>
  <cols>
    <col min="1" max="1" width="10.1796875" customWidth="1"/>
    <col min="2" max="2" width="16.54296875" bestFit="1" customWidth="1"/>
    <col min="3" max="3" width="20.7265625" bestFit="1" customWidth="1"/>
    <col min="4" max="4" width="14.7265625" customWidth="1"/>
    <col min="5" max="5" width="16" customWidth="1"/>
    <col min="6" max="6" width="17.453125" customWidth="1"/>
  </cols>
  <sheetData>
    <row r="1" spans="1:6" ht="25.5" customHeight="1" x14ac:dyDescent="0.35">
      <c r="A1" s="3" t="s">
        <v>551</v>
      </c>
      <c r="B1" s="3" t="s">
        <v>151</v>
      </c>
      <c r="C1" s="3" t="s">
        <v>152</v>
      </c>
      <c r="D1" s="4" t="s">
        <v>570</v>
      </c>
      <c r="E1" s="3" t="s">
        <v>571</v>
      </c>
      <c r="F1" s="3" t="s">
        <v>573</v>
      </c>
    </row>
    <row r="2" spans="1:6" x14ac:dyDescent="0.35">
      <c r="A2" s="5"/>
      <c r="B2" s="5"/>
      <c r="C2" s="5"/>
      <c r="D2" s="26">
        <f>C$535</f>
        <v>211245</v>
      </c>
      <c r="E2" s="27">
        <v>0</v>
      </c>
      <c r="F2">
        <f ca="1">COUNTIF(F$2:F$534,4)</f>
        <v>107</v>
      </c>
    </row>
    <row r="3" spans="1:6" x14ac:dyDescent="0.35">
      <c r="A3" s="5"/>
      <c r="B3" s="5"/>
      <c r="C3" s="5"/>
      <c r="D3" s="26">
        <f>C$535</f>
        <v>211245</v>
      </c>
      <c r="E3" s="27">
        <v>1</v>
      </c>
      <c r="F3" s="5"/>
    </row>
    <row r="4" spans="1:6" x14ac:dyDescent="0.35">
      <c r="A4" s="12" t="s">
        <v>135</v>
      </c>
      <c r="B4" s="1">
        <v>1.65</v>
      </c>
      <c r="C4" s="2">
        <v>217033</v>
      </c>
      <c r="D4" s="5">
        <f>+VLOOKUP(A4,Sheet6!A:D,4,0)</f>
        <v>1</v>
      </c>
      <c r="E4" s="5">
        <f t="shared" ref="E4:E67" si="0">(B4*D4)/1000</f>
        <v>1.65E-3</v>
      </c>
      <c r="F4" s="5" cm="1">
        <f t="array" ref="F4">_xlfn.IFS(
    AND(C4&gt;C$535,D4&lt;D$535),1,
    AND(C4&gt;C$535,D4&gt;D$535),2,
    AND(C4&lt;C$535,D4&lt;D$535),4,
    AND(C4&lt;C$535,D4&gt;D$535),3,
    TRUE,""
)</f>
        <v>2</v>
      </c>
    </row>
    <row r="5" spans="1:6" x14ac:dyDescent="0.35">
      <c r="A5" s="1" t="s">
        <v>353</v>
      </c>
      <c r="B5" s="2">
        <v>8515</v>
      </c>
      <c r="C5" s="2">
        <v>309582</v>
      </c>
      <c r="D5" s="5">
        <f>+VLOOKUP(A5,Sheet6!A:D,4,0)</f>
        <v>1</v>
      </c>
      <c r="E5" s="5">
        <f t="shared" si="0"/>
        <v>8.5150000000000006</v>
      </c>
      <c r="F5" s="5" cm="1">
        <f t="array" ref="F5">_xlfn.IFS(
    AND(C5&gt;C$535,D5&lt;D$535),1,
    AND(C5&gt;C$535,D5&gt;D$535),2,
    AND(C5&lt;C$535,D5&lt;D$535),4,
    AND(C5&lt;C$535,D5&gt;D$535),3,
    TRUE,""
)</f>
        <v>2</v>
      </c>
    </row>
    <row r="6" spans="1:6" x14ac:dyDescent="0.35">
      <c r="A6" s="1" t="s">
        <v>407</v>
      </c>
      <c r="B6" s="2">
        <v>4152</v>
      </c>
      <c r="C6" s="2">
        <v>169317</v>
      </c>
      <c r="D6" s="5">
        <f>+VLOOKUP(A6,Sheet6!A:D,4,0)</f>
        <v>0.84040404040404038</v>
      </c>
      <c r="E6" s="5">
        <f t="shared" si="0"/>
        <v>3.4893575757575754</v>
      </c>
      <c r="F6" s="5" cm="1">
        <f t="array" ref="F6">_xlfn.IFS(
    AND(C6&gt;C$535,D6&lt;D$535),1,
    AND(C6&gt;C$535,D6&gt;D$535),2,
    AND(C6&lt;C$535,D6&lt;D$535),4,
    AND(C6&lt;C$535,D6&gt;D$535),3,
    TRUE,""
)</f>
        <v>3</v>
      </c>
    </row>
    <row r="7" spans="1:6" x14ac:dyDescent="0.35">
      <c r="A7" s="1" t="s">
        <v>338</v>
      </c>
      <c r="B7" s="2">
        <v>2591</v>
      </c>
      <c r="C7" s="2">
        <v>318425</v>
      </c>
      <c r="D7" s="5">
        <f>+VLOOKUP(A7,Sheet6!A:D,4,0)</f>
        <v>0.81115879828326176</v>
      </c>
      <c r="E7" s="5">
        <f t="shared" si="0"/>
        <v>2.1017124463519314</v>
      </c>
      <c r="F7" s="5" cm="1">
        <f t="array" ref="F7">_xlfn.IFS(
    AND(C7&gt;C$535,D7&lt;D$535),1,
    AND(C7&gt;C$535,D7&gt;D$535),2,
    AND(C7&lt;C$535,D7&lt;D$535),4,
    AND(C7&lt;C$535,D7&gt;D$535),3,
    TRUE,""
)</f>
        <v>2</v>
      </c>
    </row>
    <row r="8" spans="1:6" x14ac:dyDescent="0.35">
      <c r="A8" s="1" t="s">
        <v>360</v>
      </c>
      <c r="B8" s="2">
        <v>7472</v>
      </c>
      <c r="C8" s="2">
        <v>360931</v>
      </c>
      <c r="D8" s="5">
        <f>+VLOOKUP(A8,Sheet6!A:D,4,0)</f>
        <v>0.75090252707581229</v>
      </c>
      <c r="E8" s="5">
        <f t="shared" si="0"/>
        <v>5.6107436823104688</v>
      </c>
      <c r="F8" s="5" cm="1">
        <f t="array" ref="F8">_xlfn.IFS(
    AND(C8&gt;C$535,D8&lt;D$535),1,
    AND(C8&gt;C$535,D8&gt;D$535),2,
    AND(C8&lt;C$535,D8&lt;D$535),4,
    AND(C8&lt;C$535,D8&gt;D$535),3,
    TRUE,""
)</f>
        <v>2</v>
      </c>
    </row>
    <row r="9" spans="1:6" x14ac:dyDescent="0.35">
      <c r="A9" s="1" t="s">
        <v>545</v>
      </c>
      <c r="B9" s="2">
        <v>2686</v>
      </c>
      <c r="C9" s="2">
        <v>53607</v>
      </c>
      <c r="D9" s="5">
        <f>+VLOOKUP(A9,Sheet6!A:D,4,0)</f>
        <v>0.7407407407407407</v>
      </c>
      <c r="E9" s="5">
        <f t="shared" si="0"/>
        <v>1.9896296296296296</v>
      </c>
      <c r="F9" s="5" cm="1">
        <f t="array" ref="F9">_xlfn.IFS(
    AND(C9&gt;C$535,D9&lt;D$535),1,
    AND(C9&gt;C$535,D9&gt;D$535),2,
    AND(C9&lt;C$535,D9&lt;D$535),4,
    AND(C9&lt;C$535,D9&gt;D$535),3,
    TRUE,""
)</f>
        <v>3</v>
      </c>
    </row>
    <row r="10" spans="1:6" x14ac:dyDescent="0.35">
      <c r="A10" s="1" t="s">
        <v>218</v>
      </c>
      <c r="B10" s="2">
        <v>10585</v>
      </c>
      <c r="C10" s="2">
        <v>211427</v>
      </c>
      <c r="D10" s="5">
        <f>+VLOOKUP(A10,Sheet6!A:D,4,0)</f>
        <v>0.7080394922425951</v>
      </c>
      <c r="E10" s="5">
        <f t="shared" si="0"/>
        <v>7.4945980253878686</v>
      </c>
      <c r="F10" s="5" cm="1">
        <f t="array" ref="F10">_xlfn.IFS(
    AND(C10&gt;C$535,D10&lt;D$535),1,
    AND(C10&gt;C$535,D10&gt;D$535),2,
    AND(C10&lt;C$535,D10&lt;D$535),4,
    AND(C10&lt;C$535,D10&gt;D$535),3,
    TRUE,""
)</f>
        <v>2</v>
      </c>
    </row>
    <row r="11" spans="1:6" x14ac:dyDescent="0.35">
      <c r="A11" s="1" t="s">
        <v>266</v>
      </c>
      <c r="B11" s="2">
        <v>9255</v>
      </c>
      <c r="C11" s="2">
        <v>221942</v>
      </c>
      <c r="D11" s="5">
        <f>+VLOOKUP(A11,Sheet6!A:D,4,0)</f>
        <v>0.67804878048780493</v>
      </c>
      <c r="E11" s="5">
        <f t="shared" si="0"/>
        <v>6.2753414634146347</v>
      </c>
      <c r="F11" s="5" cm="1">
        <f t="array" ref="F11">_xlfn.IFS(
    AND(C11&gt;C$535,D11&lt;D$535),1,
    AND(C11&gt;C$535,D11&gt;D$535),2,
    AND(C11&lt;C$535,D11&lt;D$535),4,
    AND(C11&lt;C$535,D11&gt;D$535),3,
    TRUE,""
)</f>
        <v>2</v>
      </c>
    </row>
    <row r="12" spans="1:6" x14ac:dyDescent="0.35">
      <c r="A12" s="1" t="s">
        <v>383</v>
      </c>
      <c r="B12" s="2">
        <v>7128</v>
      </c>
      <c r="C12" s="1">
        <v>131.16999999999999</v>
      </c>
      <c r="D12" s="5">
        <f>+VLOOKUP(A12,Sheet6!A:D,4,0)</f>
        <v>0.65868263473053901</v>
      </c>
      <c r="E12" s="5">
        <f t="shared" si="0"/>
        <v>4.6950898203592821</v>
      </c>
      <c r="F12" s="5" cm="1">
        <f t="array" ref="F12">_xlfn.IFS(
    AND(C12&gt;C$535,D12&lt;D$535),1,
    AND(C12&gt;C$535,D12&gt;D$535),2,
    AND(C12&lt;C$535,D12&lt;D$535),4,
    AND(C12&lt;C$535,D12&gt;D$535),3,
    TRUE,""
)</f>
        <v>3</v>
      </c>
    </row>
    <row r="13" spans="1:6" x14ac:dyDescent="0.35">
      <c r="A13" s="1" t="s">
        <v>421</v>
      </c>
      <c r="B13" s="2">
        <v>1276</v>
      </c>
      <c r="C13" s="2">
        <v>186584</v>
      </c>
      <c r="D13" s="5">
        <f>+VLOOKUP(A13,Sheet6!A:D,4,0)</f>
        <v>0.65714285714285725</v>
      </c>
      <c r="E13" s="5">
        <f t="shared" si="0"/>
        <v>0.83851428571428588</v>
      </c>
      <c r="F13" s="5" cm="1">
        <f t="array" ref="F13">_xlfn.IFS(
    AND(C13&gt;C$535,D13&lt;D$535),1,
    AND(C13&gt;C$535,D13&gt;D$535),2,
    AND(C13&lt;C$535,D13&lt;D$535),4,
    AND(C13&lt;C$535,D13&gt;D$535),3,
    TRUE,""
)</f>
        <v>3</v>
      </c>
    </row>
    <row r="14" spans="1:6" x14ac:dyDescent="0.35">
      <c r="A14" s="1" t="s">
        <v>415</v>
      </c>
      <c r="B14" s="2">
        <v>7118</v>
      </c>
      <c r="C14" s="2">
        <v>164095</v>
      </c>
      <c r="D14" s="5">
        <f>+VLOOKUP(A14,Sheet6!A:D,4,0)</f>
        <v>0.64338235294117641</v>
      </c>
      <c r="E14" s="5">
        <f t="shared" si="0"/>
        <v>4.5795955882352937</v>
      </c>
      <c r="F14" s="5" cm="1">
        <f t="array" ref="F14">_xlfn.IFS(
    AND(C14&gt;C$535,D14&lt;D$535),1,
    AND(C14&gt;C$535,D14&gt;D$535),2,
    AND(C14&lt;C$535,D14&lt;D$535),4,
    AND(C14&lt;C$535,D14&gt;D$535),3,
    TRUE,""
)</f>
        <v>3</v>
      </c>
    </row>
    <row r="15" spans="1:6" x14ac:dyDescent="0.35">
      <c r="A15" s="1" t="s">
        <v>441</v>
      </c>
      <c r="B15" s="2">
        <v>2998</v>
      </c>
      <c r="C15" s="2">
        <v>301909</v>
      </c>
      <c r="D15" s="5">
        <f>+VLOOKUP(A15,Sheet6!A:D,4,0)</f>
        <v>0.62222222222222223</v>
      </c>
      <c r="E15" s="5">
        <f t="shared" si="0"/>
        <v>1.8654222222222223</v>
      </c>
      <c r="F15" s="5" cm="1">
        <f t="array" ref="F15">_xlfn.IFS(
    AND(C15&gt;C$535,D15&lt;D$535),1,
    AND(C15&gt;C$535,D15&gt;D$535),2,
    AND(C15&lt;C$535,D15&lt;D$535),4,
    AND(C15&lt;C$535,D15&gt;D$535),3,
    TRUE,""
)</f>
        <v>2</v>
      </c>
    </row>
    <row r="16" spans="1:6" x14ac:dyDescent="0.35">
      <c r="A16" s="1" t="s">
        <v>158</v>
      </c>
      <c r="B16" s="2">
        <v>2697</v>
      </c>
      <c r="C16" s="2">
        <v>127571</v>
      </c>
      <c r="D16" s="5">
        <f>+VLOOKUP(A16,Sheet6!A:D,4,0)</f>
        <v>0.62</v>
      </c>
      <c r="E16" s="5">
        <f t="shared" si="0"/>
        <v>1.6721400000000002</v>
      </c>
      <c r="F16" s="5" cm="1">
        <f t="array" ref="F16">_xlfn.IFS(
    AND(C16&gt;C$535,D16&lt;D$535),1,
    AND(C16&gt;C$535,D16&gt;D$535),2,
    AND(C16&lt;C$535,D16&lt;D$535),4,
    AND(C16&lt;C$535,D16&gt;D$535),3,
    TRUE,""
)</f>
        <v>3</v>
      </c>
    </row>
    <row r="17" spans="1:6" x14ac:dyDescent="0.35">
      <c r="A17" s="1" t="s">
        <v>245</v>
      </c>
      <c r="B17" s="2">
        <v>2957</v>
      </c>
      <c r="C17" s="2">
        <v>173515</v>
      </c>
      <c r="D17" s="5">
        <f>+VLOOKUP(A17,Sheet6!A:D,4,0)</f>
        <v>0.61627906976744196</v>
      </c>
      <c r="E17" s="5">
        <f t="shared" si="0"/>
        <v>1.8223372093023258</v>
      </c>
      <c r="F17" s="5" cm="1">
        <f t="array" ref="F17">_xlfn.IFS(
    AND(C17&gt;C$535,D17&lt;D$535),1,
    AND(C17&gt;C$535,D17&gt;D$535),2,
    AND(C17&lt;C$535,D17&lt;D$535),4,
    AND(C17&lt;C$535,D17&gt;D$535),3,
    TRUE,""
)</f>
        <v>3</v>
      </c>
    </row>
    <row r="18" spans="1:6" x14ac:dyDescent="0.35">
      <c r="A18" s="1" t="s">
        <v>495</v>
      </c>
      <c r="B18" s="2">
        <v>19697</v>
      </c>
      <c r="C18" s="2">
        <v>263649</v>
      </c>
      <c r="D18" s="5">
        <f>+VLOOKUP(A18,Sheet6!A:D,4,0)</f>
        <v>0.61147902869757176</v>
      </c>
      <c r="E18" s="5">
        <f t="shared" si="0"/>
        <v>12.044302428256071</v>
      </c>
      <c r="F18" s="5" cm="1">
        <f t="array" ref="F18">_xlfn.IFS(
    AND(C18&gt;C$535,D18&lt;D$535),1,
    AND(C18&gt;C$535,D18&gt;D$535),2,
    AND(C18&lt;C$535,D18&lt;D$535),4,
    AND(C18&lt;C$535,D18&gt;D$535),3,
    TRUE,""
)</f>
        <v>2</v>
      </c>
    </row>
    <row r="19" spans="1:6" x14ac:dyDescent="0.35">
      <c r="A19" s="1" t="s">
        <v>290</v>
      </c>
      <c r="B19" s="2">
        <v>2713</v>
      </c>
      <c r="C19" s="1">
        <v>125.71</v>
      </c>
      <c r="D19" s="5">
        <f>+VLOOKUP(A19,Sheet6!A:D,4,0)</f>
        <v>0.59574468085106391</v>
      </c>
      <c r="E19" s="5">
        <f t="shared" si="0"/>
        <v>1.6162553191489364</v>
      </c>
      <c r="F19" s="5" cm="1">
        <f t="array" ref="F19">_xlfn.IFS(
    AND(C19&gt;C$535,D19&lt;D$535),1,
    AND(C19&gt;C$535,D19&gt;D$535),2,
    AND(C19&lt;C$535,D19&lt;D$535),4,
    AND(C19&lt;C$535,D19&gt;D$535),3,
    TRUE,""
)</f>
        <v>3</v>
      </c>
    </row>
    <row r="20" spans="1:6" x14ac:dyDescent="0.35">
      <c r="A20" s="1" t="s">
        <v>75</v>
      </c>
      <c r="B20" s="2">
        <v>5886</v>
      </c>
      <c r="C20" s="2">
        <v>329283</v>
      </c>
      <c r="D20" s="5">
        <f>+VLOOKUP(A20,Sheet6!A:D,4,0)</f>
        <v>0.57516339869281041</v>
      </c>
      <c r="E20" s="5">
        <f t="shared" si="0"/>
        <v>3.3854117647058821</v>
      </c>
      <c r="F20" s="5" cm="1">
        <f t="array" ref="F20">_xlfn.IFS(
    AND(C20&gt;C$535,D20&lt;D$535),1,
    AND(C20&gt;C$535,D20&gt;D$535),2,
    AND(C20&lt;C$535,D20&lt;D$535),4,
    AND(C20&lt;C$535,D20&gt;D$535),3,
    TRUE,""
)</f>
        <v>2</v>
      </c>
    </row>
    <row r="21" spans="1:6" x14ac:dyDescent="0.35">
      <c r="A21" s="1" t="s">
        <v>446</v>
      </c>
      <c r="B21" s="1">
        <v>2.78</v>
      </c>
      <c r="C21" s="2">
        <v>67635</v>
      </c>
      <c r="D21" s="5">
        <f>+VLOOKUP(A21,Sheet6!A:D,4,0)</f>
        <v>0.55670103092783507</v>
      </c>
      <c r="E21" s="5">
        <f t="shared" si="0"/>
        <v>1.5476288659793814E-3</v>
      </c>
      <c r="F21" s="5" cm="1">
        <f t="array" ref="F21">_xlfn.IFS(
    AND(C21&gt;C$535,D21&lt;D$535),1,
    AND(C21&gt;C$535,D21&gt;D$535),2,
    AND(C21&lt;C$535,D21&lt;D$535),4,
    AND(C21&lt;C$535,D21&gt;D$535),3,
    TRUE,""
)</f>
        <v>3</v>
      </c>
    </row>
    <row r="22" spans="1:6" x14ac:dyDescent="0.35">
      <c r="A22" s="1" t="s">
        <v>201</v>
      </c>
      <c r="B22" s="1">
        <v>33.19</v>
      </c>
      <c r="C22" s="2">
        <v>326027</v>
      </c>
      <c r="D22" s="5">
        <f>+VLOOKUP(A22,Sheet6!A:D,4,0)</f>
        <v>0.55493630573248398</v>
      </c>
      <c r="E22" s="5">
        <f t="shared" si="0"/>
        <v>1.8418335987261142E-2</v>
      </c>
      <c r="F22" s="5" cm="1">
        <f t="array" ref="F22">_xlfn.IFS(
    AND(C22&gt;C$535,D22&lt;D$535),1,
    AND(C22&gt;C$535,D22&gt;D$535),2,
    AND(C22&lt;C$535,D22&lt;D$535),4,
    AND(C22&lt;C$535,D22&gt;D$535),3,
    TRUE,""
)</f>
        <v>2</v>
      </c>
    </row>
    <row r="23" spans="1:6" x14ac:dyDescent="0.35">
      <c r="A23" s="1" t="s">
        <v>388</v>
      </c>
      <c r="B23" s="2">
        <v>2689</v>
      </c>
      <c r="C23" s="2">
        <v>121963</v>
      </c>
      <c r="D23" s="5">
        <f>+VLOOKUP(A23,Sheet6!A:D,4,0)</f>
        <v>0.55384615384615377</v>
      </c>
      <c r="E23" s="5">
        <f t="shared" si="0"/>
        <v>1.4892923076923075</v>
      </c>
      <c r="F23" s="5" cm="1">
        <f t="array" ref="F23">_xlfn.IFS(
    AND(C23&gt;C$535,D23&lt;D$535),1,
    AND(C23&gt;C$535,D23&gt;D$535),2,
    AND(C23&lt;C$535,D23&lt;D$535),4,
    AND(C23&lt;C$535,D23&gt;D$535),3,
    TRUE,""
)</f>
        <v>3</v>
      </c>
    </row>
    <row r="24" spans="1:6" x14ac:dyDescent="0.35">
      <c r="A24" s="1" t="s">
        <v>296</v>
      </c>
      <c r="B24" s="2">
        <v>5172</v>
      </c>
      <c r="C24" s="2">
        <v>178859</v>
      </c>
      <c r="D24" s="5">
        <f>+VLOOKUP(A24,Sheet6!A:D,4,0)</f>
        <v>0.53164556962025311</v>
      </c>
      <c r="E24" s="5">
        <f t="shared" si="0"/>
        <v>2.7496708860759491</v>
      </c>
      <c r="F24" s="5" cm="1">
        <f t="array" ref="F24">_xlfn.IFS(
    AND(C24&gt;C$535,D24&lt;D$535),1,
    AND(C24&gt;C$535,D24&gt;D$535),2,
    AND(C24&lt;C$535,D24&lt;D$535),4,
    AND(C24&lt;C$535,D24&gt;D$535),3,
    TRUE,""
)</f>
        <v>3</v>
      </c>
    </row>
    <row r="25" spans="1:6" x14ac:dyDescent="0.35">
      <c r="A25" s="1" t="s">
        <v>306</v>
      </c>
      <c r="B25" s="2">
        <v>6597</v>
      </c>
      <c r="C25" s="2">
        <v>144467</v>
      </c>
      <c r="D25" s="5">
        <f>+VLOOKUP(A25,Sheet6!A:D,4,0)</f>
        <v>0.52534562211981561</v>
      </c>
      <c r="E25" s="5">
        <f t="shared" si="0"/>
        <v>3.4657050691244233</v>
      </c>
      <c r="F25" s="5" cm="1">
        <f t="array" ref="F25">_xlfn.IFS(
    AND(C25&gt;C$535,D25&lt;D$535),1,
    AND(C25&gt;C$535,D25&gt;D$535),2,
    AND(C25&lt;C$535,D25&lt;D$535),4,
    AND(C25&lt;C$535,D25&gt;D$535),3,
    TRUE,""
)</f>
        <v>3</v>
      </c>
    </row>
    <row r="26" spans="1:6" x14ac:dyDescent="0.35">
      <c r="A26" s="1" t="s">
        <v>458</v>
      </c>
      <c r="B26" s="1">
        <v>4.92</v>
      </c>
      <c r="C26" s="2">
        <v>114035</v>
      </c>
      <c r="D26" s="5">
        <f>+VLOOKUP(A26,Sheet6!A:D,4,0)</f>
        <v>0.52112676056338025</v>
      </c>
      <c r="E26" s="5">
        <f t="shared" si="0"/>
        <v>2.5639436619718306E-3</v>
      </c>
      <c r="F26" s="5" cm="1">
        <f t="array" ref="F26">_xlfn.IFS(
    AND(C26&gt;C$535,D26&lt;D$535),1,
    AND(C26&gt;C$535,D26&gt;D$535),2,
    AND(C26&lt;C$535,D26&lt;D$535),4,
    AND(C26&lt;C$535,D26&gt;D$535),3,
    TRUE,""
)</f>
        <v>3</v>
      </c>
    </row>
    <row r="27" spans="1:6" x14ac:dyDescent="0.35">
      <c r="A27" s="1" t="s">
        <v>271</v>
      </c>
      <c r="B27" s="2">
        <v>50798</v>
      </c>
      <c r="C27" s="2">
        <v>213257</v>
      </c>
      <c r="D27" s="5">
        <f>+VLOOKUP(A27,Sheet6!A:D,4,0)</f>
        <v>0.51142225497420779</v>
      </c>
      <c r="E27" s="5">
        <f t="shared" si="0"/>
        <v>25.979227708179806</v>
      </c>
      <c r="F27" s="5" cm="1">
        <f t="array" ref="F27">_xlfn.IFS(
    AND(C27&gt;C$535,D27&lt;D$535),1,
    AND(C27&gt;C$535,D27&gt;D$535),2,
    AND(C27&lt;C$535,D27&lt;D$535),4,
    AND(C27&lt;C$535,D27&gt;D$535),3,
    TRUE,""
)</f>
        <v>2</v>
      </c>
    </row>
    <row r="28" spans="1:6" x14ac:dyDescent="0.35">
      <c r="A28" s="1" t="s">
        <v>142</v>
      </c>
      <c r="B28" s="2">
        <v>24243</v>
      </c>
      <c r="C28" s="2">
        <v>211359</v>
      </c>
      <c r="D28" s="5">
        <f>+VLOOKUP(A28,Sheet6!A:D,4,0)</f>
        <v>0.50887573964497035</v>
      </c>
      <c r="E28" s="5">
        <f t="shared" si="0"/>
        <v>12.336674556213016</v>
      </c>
      <c r="F28" s="5" cm="1">
        <f t="array" ref="F28">_xlfn.IFS(
    AND(C28&gt;C$535,D28&lt;D$535),1,
    AND(C28&gt;C$535,D28&gt;D$535),2,
    AND(C28&lt;C$535,D28&lt;D$535),4,
    AND(C28&lt;C$535,D28&gt;D$535),3,
    TRUE,""
)</f>
        <v>2</v>
      </c>
    </row>
    <row r="29" spans="1:6" x14ac:dyDescent="0.35">
      <c r="A29" s="1" t="s">
        <v>451</v>
      </c>
      <c r="B29" s="2">
        <v>10147</v>
      </c>
      <c r="C29" s="2">
        <v>283737</v>
      </c>
      <c r="D29" s="5">
        <f>+VLOOKUP(A29,Sheet6!A:D,4,0)</f>
        <v>0.50318471337579618</v>
      </c>
      <c r="E29" s="5">
        <f t="shared" si="0"/>
        <v>5.1058152866242033</v>
      </c>
      <c r="F29" s="5" cm="1">
        <f t="array" ref="F29">_xlfn.IFS(
    AND(C29&gt;C$535,D29&lt;D$535),1,
    AND(C29&gt;C$535,D29&gt;D$535),2,
    AND(C29&lt;C$535,D29&lt;D$535),4,
    AND(C29&lt;C$535,D29&gt;D$535),3,
    TRUE,""
)</f>
        <v>2</v>
      </c>
    </row>
    <row r="30" spans="1:6" x14ac:dyDescent="0.35">
      <c r="A30" s="1" t="s">
        <v>170</v>
      </c>
      <c r="B30" s="2">
        <v>7278</v>
      </c>
      <c r="C30" s="2">
        <v>400253</v>
      </c>
      <c r="D30" s="5">
        <f>+VLOOKUP(A30,Sheet6!A:D,4,0)</f>
        <v>0.50199203187250996</v>
      </c>
      <c r="E30" s="5">
        <f t="shared" si="0"/>
        <v>3.6534980079681278</v>
      </c>
      <c r="F30" s="5" cm="1">
        <f t="array" ref="F30">_xlfn.IFS(
    AND(C30&gt;C$535,D30&lt;D$535),1,
    AND(C30&gt;C$535,D30&gt;D$535),2,
    AND(C30&lt;C$535,D30&lt;D$535),4,
    AND(C30&lt;C$535,D30&gt;D$535),3,
    TRUE,""
)</f>
        <v>2</v>
      </c>
    </row>
    <row r="31" spans="1:6" x14ac:dyDescent="0.35">
      <c r="A31" s="1" t="s">
        <v>289</v>
      </c>
      <c r="B31" s="2">
        <v>16971</v>
      </c>
      <c r="C31" s="2">
        <v>276833</v>
      </c>
      <c r="D31" s="5">
        <f>+VLOOKUP(A31,Sheet6!A:D,4,0)</f>
        <v>0.49352750809061491</v>
      </c>
      <c r="E31" s="5">
        <f t="shared" si="0"/>
        <v>8.3756553398058262</v>
      </c>
      <c r="F31" s="5" cm="1">
        <f t="array" ref="F31">_xlfn.IFS(
    AND(C31&gt;C$535,D31&lt;D$535),1,
    AND(C31&gt;C$535,D31&gt;D$535),2,
    AND(C31&lt;C$535,D31&lt;D$535),4,
    AND(C31&lt;C$535,D31&gt;D$535),3,
    TRUE,""
)</f>
        <v>2</v>
      </c>
    </row>
    <row r="32" spans="1:6" x14ac:dyDescent="0.35">
      <c r="A32" s="1" t="s">
        <v>471</v>
      </c>
      <c r="B32" s="2">
        <v>7006</v>
      </c>
      <c r="C32" s="2">
        <v>115623</v>
      </c>
      <c r="D32" s="5">
        <f>+VLOOKUP(A32,Sheet6!A:D,4,0)</f>
        <v>0.48936170212765961</v>
      </c>
      <c r="E32" s="5">
        <f t="shared" si="0"/>
        <v>3.4284680851063829</v>
      </c>
      <c r="F32" s="5" cm="1">
        <f t="array" ref="F32">_xlfn.IFS(
    AND(C32&gt;C$535,D32&lt;D$535),1,
    AND(C32&gt;C$535,D32&gt;D$535),2,
    AND(C32&lt;C$535,D32&lt;D$535),4,
    AND(C32&lt;C$535,D32&gt;D$535),3,
    TRUE,""
)</f>
        <v>3</v>
      </c>
    </row>
    <row r="33" spans="1:6" x14ac:dyDescent="0.35">
      <c r="A33" s="1" t="s">
        <v>255</v>
      </c>
      <c r="B33" s="2">
        <v>41269</v>
      </c>
      <c r="C33" s="2">
        <v>273326</v>
      </c>
      <c r="D33" s="5">
        <f>+VLOOKUP(A33,Sheet6!A:D,4,0)</f>
        <v>0.48766603415559773</v>
      </c>
      <c r="E33" s="5">
        <f t="shared" si="0"/>
        <v>20.125489563567363</v>
      </c>
      <c r="F33" s="5" cm="1">
        <f t="array" ref="F33">_xlfn.IFS(
    AND(C33&gt;C$535,D33&lt;D$535),1,
    AND(C33&gt;C$535,D33&gt;D$535),2,
    AND(C33&lt;C$535,D33&lt;D$535),4,
    AND(C33&lt;C$535,D33&gt;D$535),3,
    TRUE,""
)</f>
        <v>2</v>
      </c>
    </row>
    <row r="34" spans="1:6" x14ac:dyDescent="0.35">
      <c r="A34" s="1" t="s">
        <v>494</v>
      </c>
      <c r="B34" s="2">
        <v>11657</v>
      </c>
      <c r="C34" s="2">
        <v>286621</v>
      </c>
      <c r="D34" s="5">
        <f>+VLOOKUP(A34,Sheet6!A:D,4,0)</f>
        <v>0.48730964467005072</v>
      </c>
      <c r="E34" s="5">
        <f t="shared" si="0"/>
        <v>5.6805685279187808</v>
      </c>
      <c r="F34" s="5" cm="1">
        <f t="array" ref="F34">_xlfn.IFS(
    AND(C34&gt;C$535,D34&lt;D$535),1,
    AND(C34&gt;C$535,D34&gt;D$535),2,
    AND(C34&lt;C$535,D34&lt;D$535),4,
    AND(C34&lt;C$535,D34&gt;D$535),3,
    TRUE,""
)</f>
        <v>2</v>
      </c>
    </row>
    <row r="35" spans="1:6" x14ac:dyDescent="0.35">
      <c r="A35" s="1" t="s">
        <v>24</v>
      </c>
      <c r="B35" s="2">
        <v>51386</v>
      </c>
      <c r="C35" s="2">
        <v>247478</v>
      </c>
      <c r="D35" s="5">
        <f>+VLOOKUP(A35,Sheet6!A:D,4,0)</f>
        <v>0.48685491723466406</v>
      </c>
      <c r="E35" s="5">
        <f t="shared" si="0"/>
        <v>25.01752677702045</v>
      </c>
      <c r="F35" s="5" cm="1">
        <f t="array" ref="F35">_xlfn.IFS(
    AND(C35&gt;C$535,D35&lt;D$535),1,
    AND(C35&gt;C$535,D35&gt;D$535),2,
    AND(C35&lt;C$535,D35&lt;D$535),4,
    AND(C35&lt;C$535,D35&gt;D$535),3,
    TRUE,""
)</f>
        <v>2</v>
      </c>
    </row>
    <row r="36" spans="1:6" x14ac:dyDescent="0.35">
      <c r="A36" s="1" t="s">
        <v>281</v>
      </c>
      <c r="B36" s="2">
        <v>6486</v>
      </c>
      <c r="C36" s="2">
        <v>150476</v>
      </c>
      <c r="D36" s="5">
        <f>+VLOOKUP(A36,Sheet6!A:D,4,0)</f>
        <v>0.4865900383141763</v>
      </c>
      <c r="E36" s="5">
        <f t="shared" si="0"/>
        <v>3.1560229885057476</v>
      </c>
      <c r="F36" s="5" cm="1">
        <f t="array" ref="F36">_xlfn.IFS(
    AND(C36&gt;C$535,D36&lt;D$535),1,
    AND(C36&gt;C$535,D36&gt;D$535),2,
    AND(C36&lt;C$535,D36&lt;D$535),4,
    AND(C36&lt;C$535,D36&gt;D$535),3,
    TRUE,""
)</f>
        <v>3</v>
      </c>
    </row>
    <row r="37" spans="1:6" x14ac:dyDescent="0.35">
      <c r="A37" s="1" t="s">
        <v>371</v>
      </c>
      <c r="B37" s="2">
        <v>31882</v>
      </c>
      <c r="C37" s="2">
        <v>343894</v>
      </c>
      <c r="D37" s="5">
        <f>+VLOOKUP(A37,Sheet6!A:D,4,0)</f>
        <v>0.48634812286689416</v>
      </c>
      <c r="E37" s="5">
        <f t="shared" si="0"/>
        <v>15.50575085324232</v>
      </c>
      <c r="F37" s="5" cm="1">
        <f t="array" ref="F37">_xlfn.IFS(
    AND(C37&gt;C$535,D37&lt;D$535),1,
    AND(C37&gt;C$535,D37&gt;D$535),2,
    AND(C37&lt;C$535,D37&lt;D$535),4,
    AND(C37&lt;C$535,D37&gt;D$535),3,
    TRUE,""
)</f>
        <v>2</v>
      </c>
    </row>
    <row r="38" spans="1:6" x14ac:dyDescent="0.35">
      <c r="A38" s="1" t="s">
        <v>54</v>
      </c>
      <c r="B38" s="2">
        <v>23178</v>
      </c>
      <c r="C38" s="1">
        <v>336.96</v>
      </c>
      <c r="D38" s="5">
        <f>+VLOOKUP(A38,Sheet6!A:D,4,0)</f>
        <v>0.48283752860411894</v>
      </c>
      <c r="E38" s="5">
        <f t="shared" si="0"/>
        <v>11.19120823798627</v>
      </c>
      <c r="F38" s="5" cm="1">
        <f t="array" ref="F38">_xlfn.IFS(
    AND(C38&gt;C$535,D38&lt;D$535),1,
    AND(C38&gt;C$535,D38&gt;D$535),2,
    AND(C38&lt;C$535,D38&lt;D$535),4,
    AND(C38&lt;C$535,D38&gt;D$535),3,
    TRUE,""
)</f>
        <v>3</v>
      </c>
    </row>
    <row r="39" spans="1:6" x14ac:dyDescent="0.35">
      <c r="A39" s="1" t="s">
        <v>43</v>
      </c>
      <c r="B39" s="2">
        <v>17397</v>
      </c>
      <c r="C39" s="2">
        <v>229632</v>
      </c>
      <c r="D39" s="5">
        <f>+VLOOKUP(A39,Sheet6!A:D,4,0)</f>
        <v>0.47769516728624534</v>
      </c>
      <c r="E39" s="5">
        <f t="shared" si="0"/>
        <v>8.31046282527881</v>
      </c>
      <c r="F39" s="5" cm="1">
        <f t="array" ref="F39">_xlfn.IFS(
    AND(C39&gt;C$535,D39&lt;D$535),1,
    AND(C39&gt;C$535,D39&gt;D$535),2,
    AND(C39&lt;C$535,D39&lt;D$535),4,
    AND(C39&lt;C$535,D39&gt;D$535),3,
    TRUE,""
)</f>
        <v>2</v>
      </c>
    </row>
    <row r="40" spans="1:6" x14ac:dyDescent="0.35">
      <c r="A40" s="1" t="s">
        <v>209</v>
      </c>
      <c r="B40" s="2">
        <v>15115</v>
      </c>
      <c r="C40" s="2">
        <v>215947</v>
      </c>
      <c r="D40" s="5">
        <f>+VLOOKUP(A40,Sheet6!A:D,4,0)</f>
        <v>0.47252747252747257</v>
      </c>
      <c r="E40" s="5">
        <f t="shared" si="0"/>
        <v>7.1422527472527477</v>
      </c>
      <c r="F40" s="5" cm="1">
        <f t="array" ref="F40">_xlfn.IFS(
    AND(C40&gt;C$535,D40&lt;D$535),1,
    AND(C40&gt;C$535,D40&gt;D$535),2,
    AND(C40&lt;C$535,D40&lt;D$535),4,
    AND(C40&lt;C$535,D40&gt;D$535),3,
    TRUE,""
)</f>
        <v>2</v>
      </c>
    </row>
    <row r="41" spans="1:6" x14ac:dyDescent="0.35">
      <c r="A41" s="1" t="s">
        <v>103</v>
      </c>
      <c r="B41" s="2">
        <v>4214</v>
      </c>
      <c r="C41" s="2">
        <v>194807</v>
      </c>
      <c r="D41" s="5">
        <f>+VLOOKUP(A41,Sheet6!A:D,4,0)</f>
        <v>0.47115384615384615</v>
      </c>
      <c r="E41" s="5">
        <f t="shared" si="0"/>
        <v>1.9854423076923076</v>
      </c>
      <c r="F41" s="5" cm="1">
        <f t="array" ref="F41">_xlfn.IFS(
    AND(C41&gt;C$535,D41&lt;D$535),1,
    AND(C41&gt;C$535,D41&gt;D$535),2,
    AND(C41&lt;C$535,D41&lt;D$535),4,
    AND(C41&lt;C$535,D41&gt;D$535),3,
    TRUE,""
)</f>
        <v>3</v>
      </c>
    </row>
    <row r="42" spans="1:6" x14ac:dyDescent="0.35">
      <c r="A42" s="1" t="s">
        <v>174</v>
      </c>
      <c r="B42" s="1">
        <v>7.13</v>
      </c>
      <c r="C42" s="2">
        <v>239122</v>
      </c>
      <c r="D42" s="5">
        <f>+VLOOKUP(A42,Sheet6!A:D,4,0)</f>
        <v>0.47</v>
      </c>
      <c r="E42" s="5">
        <f t="shared" si="0"/>
        <v>3.3510999999999997E-3</v>
      </c>
      <c r="F42" s="5" cm="1">
        <f t="array" ref="F42">_xlfn.IFS(
    AND(C42&gt;C$535,D42&lt;D$535),1,
    AND(C42&gt;C$535,D42&gt;D$535),2,
    AND(C42&lt;C$535,D42&lt;D$535),4,
    AND(C42&lt;C$535,D42&gt;D$535),3,
    TRUE,""
)</f>
        <v>2</v>
      </c>
    </row>
    <row r="43" spans="1:6" x14ac:dyDescent="0.35">
      <c r="A43" s="1" t="s">
        <v>227</v>
      </c>
      <c r="B43" s="2">
        <v>4966</v>
      </c>
      <c r="C43" s="2">
        <v>119011</v>
      </c>
      <c r="D43" s="5">
        <f>+VLOOKUP(A43,Sheet6!A:D,4,0)</f>
        <v>0.4678899082568807</v>
      </c>
      <c r="E43" s="5">
        <f t="shared" si="0"/>
        <v>2.3235412844036696</v>
      </c>
      <c r="F43" s="5" cm="1">
        <f t="array" ref="F43">_xlfn.IFS(
    AND(C43&gt;C$535,D43&lt;D$535),1,
    AND(C43&gt;C$535,D43&gt;D$535),2,
    AND(C43&lt;C$535,D43&lt;D$535),4,
    AND(C43&lt;C$535,D43&gt;D$535),3,
    TRUE,""
)</f>
        <v>3</v>
      </c>
    </row>
    <row r="44" spans="1:6" x14ac:dyDescent="0.35">
      <c r="A44" s="1" t="s">
        <v>358</v>
      </c>
      <c r="B44" s="2">
        <v>10999</v>
      </c>
      <c r="C44" s="2">
        <v>361594</v>
      </c>
      <c r="D44" s="5">
        <f>+VLOOKUP(A44,Sheet6!A:D,4,0)</f>
        <v>0.46428571428571436</v>
      </c>
      <c r="E44" s="5">
        <f t="shared" si="0"/>
        <v>5.1066785714285725</v>
      </c>
      <c r="F44" s="5" cm="1">
        <f t="array" ref="F44">_xlfn.IFS(
    AND(C44&gt;C$535,D44&lt;D$535),1,
    AND(C44&gt;C$535,D44&gt;D$535),2,
    AND(C44&lt;C$535,D44&lt;D$535),4,
    AND(C44&lt;C$535,D44&gt;D$535),3,
    TRUE,""
)</f>
        <v>2</v>
      </c>
    </row>
    <row r="45" spans="1:6" x14ac:dyDescent="0.35">
      <c r="A45" s="1" t="s">
        <v>1</v>
      </c>
      <c r="B45" s="2">
        <v>13739</v>
      </c>
      <c r="C45" s="2">
        <v>249514</v>
      </c>
      <c r="D45" s="5">
        <f>+VLOOKUP(A45,Sheet6!A:D,4,0)</f>
        <v>0.46412556053811654</v>
      </c>
      <c r="E45" s="5">
        <f t="shared" si="0"/>
        <v>6.3766210762331834</v>
      </c>
      <c r="F45" s="5" cm="1">
        <f t="array" ref="F45">_xlfn.IFS(
    AND(C45&gt;C$535,D45&lt;D$535),1,
    AND(C45&gt;C$535,D45&gt;D$535),2,
    AND(C45&lt;C$535,D45&lt;D$535),4,
    AND(C45&lt;C$535,D45&gt;D$535),3,
    TRUE,""
)</f>
        <v>2</v>
      </c>
    </row>
    <row r="46" spans="1:6" x14ac:dyDescent="0.35">
      <c r="A46" s="1" t="s">
        <v>357</v>
      </c>
      <c r="B46" s="2">
        <v>31738</v>
      </c>
      <c r="C46" s="2">
        <v>371694</v>
      </c>
      <c r="D46" s="5">
        <f>+VLOOKUP(A46,Sheet6!A:D,4,0)</f>
        <v>0.46352583586626139</v>
      </c>
      <c r="E46" s="5">
        <f t="shared" si="0"/>
        <v>14.711382978723405</v>
      </c>
      <c r="F46" s="5" cm="1">
        <f t="array" ref="F46">_xlfn.IFS(
    AND(C46&gt;C$535,D46&lt;D$535),1,
    AND(C46&gt;C$535,D46&gt;D$535),2,
    AND(C46&lt;C$535,D46&lt;D$535),4,
    AND(C46&lt;C$535,D46&gt;D$535),3,
    TRUE,""
)</f>
        <v>2</v>
      </c>
    </row>
    <row r="47" spans="1:6" x14ac:dyDescent="0.35">
      <c r="A47" s="1" t="s">
        <v>140</v>
      </c>
      <c r="B47" s="2">
        <v>15032</v>
      </c>
      <c r="C47" s="2">
        <v>196111</v>
      </c>
      <c r="D47" s="5">
        <f>+VLOOKUP(A47,Sheet6!A:D,4,0)</f>
        <v>0.46312684365781709</v>
      </c>
      <c r="E47" s="5">
        <f t="shared" si="0"/>
        <v>6.9617227138643063</v>
      </c>
      <c r="F47" s="5" cm="1">
        <f t="array" ref="F47">_xlfn.IFS(
    AND(C47&gt;C$535,D47&lt;D$535),1,
    AND(C47&gt;C$535,D47&gt;D$535),2,
    AND(C47&lt;C$535,D47&lt;D$535),4,
    AND(C47&lt;C$535,D47&gt;D$535),3,
    TRUE,""
)</f>
        <v>3</v>
      </c>
    </row>
    <row r="48" spans="1:6" x14ac:dyDescent="0.35">
      <c r="A48" s="1" t="s">
        <v>384</v>
      </c>
      <c r="B48" s="2">
        <v>7139</v>
      </c>
      <c r="C48" s="2">
        <v>162198</v>
      </c>
      <c r="D48" s="5">
        <f>+VLOOKUP(A48,Sheet6!A:D,4,0)</f>
        <v>0.45859872611464964</v>
      </c>
      <c r="E48" s="5">
        <f t="shared" si="0"/>
        <v>3.2739363057324837</v>
      </c>
      <c r="F48" s="5" cm="1">
        <f t="array" ref="F48">_xlfn.IFS(
    AND(C48&gt;C$535,D48&lt;D$535),1,
    AND(C48&gt;C$535,D48&gt;D$535),2,
    AND(C48&lt;C$535,D48&lt;D$535),4,
    AND(C48&lt;C$535,D48&gt;D$535),3,
    TRUE,""
)</f>
        <v>3</v>
      </c>
    </row>
    <row r="49" spans="1:6" x14ac:dyDescent="0.35">
      <c r="A49" s="1" t="s">
        <v>506</v>
      </c>
      <c r="B49" s="2">
        <v>8896</v>
      </c>
      <c r="C49" s="2">
        <v>179862</v>
      </c>
      <c r="D49" s="5">
        <f>+VLOOKUP(A49,Sheet6!A:D,4,0)</f>
        <v>0.4560570071258907</v>
      </c>
      <c r="E49" s="5">
        <f t="shared" si="0"/>
        <v>4.0570831353919239</v>
      </c>
      <c r="F49" s="5" cm="1">
        <f t="array" ref="F49">_xlfn.IFS(
    AND(C49&gt;C$535,D49&lt;D$535),1,
    AND(C49&gt;C$535,D49&gt;D$535),2,
    AND(C49&lt;C$535,D49&lt;D$535),4,
    AND(C49&lt;C$535,D49&gt;D$535),3,
    TRUE,""
)</f>
        <v>3</v>
      </c>
    </row>
    <row r="50" spans="1:6" x14ac:dyDescent="0.35">
      <c r="A50" s="1" t="s">
        <v>512</v>
      </c>
      <c r="B50" s="1">
        <v>13.04</v>
      </c>
      <c r="C50" s="2">
        <v>315347</v>
      </c>
      <c r="D50" s="5">
        <f>+VLOOKUP(A50,Sheet6!A:D,4,0)</f>
        <v>0.45564516129032256</v>
      </c>
      <c r="E50" s="5">
        <f t="shared" si="0"/>
        <v>5.9416129032258064E-3</v>
      </c>
      <c r="F50" s="5" cm="1">
        <f t="array" ref="F50">_xlfn.IFS(
    AND(C50&gt;C$535,D50&lt;D$535),1,
    AND(C50&gt;C$535,D50&gt;D$535),2,
    AND(C50&lt;C$535,D50&lt;D$535),4,
    AND(C50&lt;C$535,D50&gt;D$535),3,
    TRUE,""
)</f>
        <v>2</v>
      </c>
    </row>
    <row r="51" spans="1:6" x14ac:dyDescent="0.35">
      <c r="A51" s="1" t="s">
        <v>478</v>
      </c>
      <c r="B51" s="1">
        <v>2.88</v>
      </c>
      <c r="C51" s="2">
        <v>173602</v>
      </c>
      <c r="D51" s="5">
        <f>+VLOOKUP(A51,Sheet6!A:D,4,0)</f>
        <v>0.45283018867924524</v>
      </c>
      <c r="E51" s="5">
        <f t="shared" si="0"/>
        <v>1.3041509433962262E-3</v>
      </c>
      <c r="F51" s="5" cm="1">
        <f t="array" ref="F51">_xlfn.IFS(
    AND(C51&gt;C$535,D51&lt;D$535),1,
    AND(C51&gt;C$535,D51&gt;D$535),2,
    AND(C51&lt;C$535,D51&lt;D$535),4,
    AND(C51&lt;C$535,D51&gt;D$535),3,
    TRUE,""
)</f>
        <v>3</v>
      </c>
    </row>
    <row r="52" spans="1:6" x14ac:dyDescent="0.35">
      <c r="A52" s="1" t="s">
        <v>428</v>
      </c>
      <c r="B52" s="2">
        <v>7211</v>
      </c>
      <c r="C52" s="1">
        <v>189.29</v>
      </c>
      <c r="D52" s="5">
        <f>+VLOOKUP(A52,Sheet6!A:D,4,0)</f>
        <v>0.44736842105263158</v>
      </c>
      <c r="E52" s="5">
        <f t="shared" si="0"/>
        <v>3.2259736842105262</v>
      </c>
      <c r="F52" s="5" cm="1">
        <f t="array" ref="F52">_xlfn.IFS(
    AND(C52&gt;C$535,D52&lt;D$535),1,
    AND(C52&gt;C$535,D52&gt;D$535),2,
    AND(C52&lt;C$535,D52&lt;D$535),4,
    AND(C52&lt;C$535,D52&gt;D$535),3,
    TRUE,""
)</f>
        <v>3</v>
      </c>
    </row>
    <row r="53" spans="1:6" x14ac:dyDescent="0.35">
      <c r="A53" s="1" t="s">
        <v>155</v>
      </c>
      <c r="B53" s="2">
        <v>6962</v>
      </c>
      <c r="C53" s="2">
        <v>191742</v>
      </c>
      <c r="D53" s="5">
        <f>+VLOOKUP(A53,Sheet6!A:D,4,0)</f>
        <v>0.44594594594594589</v>
      </c>
      <c r="E53" s="5">
        <f t="shared" si="0"/>
        <v>3.1046756756756753</v>
      </c>
      <c r="F53" s="5" cm="1">
        <f t="array" ref="F53">_xlfn.IFS(
    AND(C53&gt;C$535,D53&lt;D$535),1,
    AND(C53&gt;C$535,D53&gt;D$535),2,
    AND(C53&lt;C$535,D53&lt;D$535),4,
    AND(C53&lt;C$535,D53&gt;D$535),3,
    TRUE,""
)</f>
        <v>3</v>
      </c>
    </row>
    <row r="54" spans="1:6" x14ac:dyDescent="0.35">
      <c r="A54" s="1" t="s">
        <v>427</v>
      </c>
      <c r="B54" s="2">
        <v>15556</v>
      </c>
      <c r="C54" s="2">
        <v>406664</v>
      </c>
      <c r="D54" s="5">
        <f>+VLOOKUP(A54,Sheet6!A:D,4,0)</f>
        <v>0.44482758620689655</v>
      </c>
      <c r="E54" s="5">
        <f t="shared" si="0"/>
        <v>6.9197379310344829</v>
      </c>
      <c r="F54" s="5" cm="1">
        <f t="array" ref="F54">_xlfn.IFS(
    AND(C54&gt;C$535,D54&lt;D$535),1,
    AND(C54&gt;C$535,D54&gt;D$535),2,
    AND(C54&lt;C$535,D54&lt;D$535),4,
    AND(C54&lt;C$535,D54&gt;D$535),3,
    TRUE,""
)</f>
        <v>2</v>
      </c>
    </row>
    <row r="55" spans="1:6" x14ac:dyDescent="0.35">
      <c r="A55" s="1" t="s">
        <v>416</v>
      </c>
      <c r="B55" s="2">
        <v>8618</v>
      </c>
      <c r="C55" s="2">
        <v>137856</v>
      </c>
      <c r="D55" s="5">
        <f>+VLOOKUP(A55,Sheet6!A:D,4,0)</f>
        <v>0.44444444444444448</v>
      </c>
      <c r="E55" s="5">
        <f t="shared" si="0"/>
        <v>3.8302222222222224</v>
      </c>
      <c r="F55" s="5" cm="1">
        <f t="array" ref="F55">_xlfn.IFS(
    AND(C55&gt;C$535,D55&lt;D$535),1,
    AND(C55&gt;C$535,D55&gt;D$535),2,
    AND(C55&lt;C$535,D55&lt;D$535),4,
    AND(C55&lt;C$535,D55&gt;D$535),3,
    TRUE,""
)</f>
        <v>3</v>
      </c>
    </row>
    <row r="56" spans="1:6" x14ac:dyDescent="0.35">
      <c r="A56" s="1" t="s">
        <v>193</v>
      </c>
      <c r="B56" s="2">
        <v>2866</v>
      </c>
      <c r="C56" s="2">
        <v>187352</v>
      </c>
      <c r="D56" s="5">
        <f>+VLOOKUP(A56,Sheet6!A:D,4,0)</f>
        <v>0.44444444444444442</v>
      </c>
      <c r="E56" s="5">
        <f t="shared" si="0"/>
        <v>1.2737777777777777</v>
      </c>
      <c r="F56" s="5" cm="1">
        <f t="array" ref="F56">_xlfn.IFS(
    AND(C56&gt;C$535,D56&lt;D$535),1,
    AND(C56&gt;C$535,D56&gt;D$535),2,
    AND(C56&lt;C$535,D56&lt;D$535),4,
    AND(C56&lt;C$535,D56&gt;D$535),3,
    TRUE,""
)</f>
        <v>3</v>
      </c>
    </row>
    <row r="57" spans="1:6" x14ac:dyDescent="0.35">
      <c r="A57" s="1" t="s">
        <v>381</v>
      </c>
      <c r="B57" s="2">
        <v>17231</v>
      </c>
      <c r="C57" s="2">
        <v>272011</v>
      </c>
      <c r="D57" s="5">
        <f>+VLOOKUP(A57,Sheet6!A:D,4,0)</f>
        <v>0.44164037854889587</v>
      </c>
      <c r="E57" s="5">
        <f t="shared" si="0"/>
        <v>7.6099053627760247</v>
      </c>
      <c r="F57" s="5" cm="1">
        <f t="array" ref="F57">_xlfn.IFS(
    AND(C57&gt;C$535,D57&lt;D$535),1,
    AND(C57&gt;C$535,D57&gt;D$535),2,
    AND(C57&lt;C$535,D57&lt;D$535),4,
    AND(C57&lt;C$535,D57&gt;D$535),3,
    TRUE,""
)</f>
        <v>2</v>
      </c>
    </row>
    <row r="58" spans="1:6" x14ac:dyDescent="0.35">
      <c r="A58" s="1" t="s">
        <v>89</v>
      </c>
      <c r="B58" s="1">
        <v>9.8000000000000007</v>
      </c>
      <c r="C58" s="2">
        <v>243363</v>
      </c>
      <c r="D58" s="5">
        <f>+VLOOKUP(A58,Sheet6!A:D,4,0)</f>
        <v>0.44019138755980869</v>
      </c>
      <c r="E58" s="5">
        <f t="shared" si="0"/>
        <v>4.3138755980861258E-3</v>
      </c>
      <c r="F58" s="5" cm="1">
        <f t="array" ref="F58">_xlfn.IFS(
    AND(C58&gt;C$535,D58&lt;D$535),1,
    AND(C58&gt;C$535,D58&gt;D$535),2,
    AND(C58&lt;C$535,D58&lt;D$535),4,
    AND(C58&lt;C$535,D58&gt;D$535),3,
    TRUE,""
)</f>
        <v>2</v>
      </c>
    </row>
    <row r="59" spans="1:6" x14ac:dyDescent="0.35">
      <c r="A59" s="1" t="s">
        <v>267</v>
      </c>
      <c r="B59" s="2">
        <v>2554</v>
      </c>
      <c r="C59" s="2">
        <v>306961</v>
      </c>
      <c r="D59" s="5">
        <f>+VLOOKUP(A59,Sheet6!A:D,4,0)</f>
        <v>0.44</v>
      </c>
      <c r="E59" s="5">
        <f t="shared" si="0"/>
        <v>1.1237600000000001</v>
      </c>
      <c r="F59" s="5" cm="1">
        <f t="array" ref="F59">_xlfn.IFS(
    AND(C59&gt;C$535,D59&lt;D$535),1,
    AND(C59&gt;C$535,D59&gt;D$535),2,
    AND(C59&lt;C$535,D59&lt;D$535),4,
    AND(C59&lt;C$535,D59&gt;D$535),3,
    TRUE,""
)</f>
        <v>2</v>
      </c>
    </row>
    <row r="60" spans="1:6" x14ac:dyDescent="0.35">
      <c r="A60" s="1" t="s">
        <v>520</v>
      </c>
      <c r="B60" s="2">
        <v>6401</v>
      </c>
      <c r="C60" s="2">
        <v>142953</v>
      </c>
      <c r="D60" s="5">
        <f>+VLOOKUP(A60,Sheet6!A:D,4,0)</f>
        <v>0.43852459016393447</v>
      </c>
      <c r="E60" s="5">
        <f t="shared" si="0"/>
        <v>2.8069959016393446</v>
      </c>
      <c r="F60" s="5" cm="1">
        <f t="array" ref="F60">_xlfn.IFS(
    AND(C60&gt;C$535,D60&lt;D$535),1,
    AND(C60&gt;C$535,D60&gt;D$535),2,
    AND(C60&lt;C$535,D60&lt;D$535),4,
    AND(C60&lt;C$535,D60&gt;D$535),3,
    TRUE,""
)</f>
        <v>3</v>
      </c>
    </row>
    <row r="61" spans="1:6" x14ac:dyDescent="0.35">
      <c r="A61" s="1" t="s">
        <v>363</v>
      </c>
      <c r="B61" s="2">
        <v>20876</v>
      </c>
      <c r="C61" s="2">
        <v>318591</v>
      </c>
      <c r="D61" s="5">
        <f>+VLOOKUP(A61,Sheet6!A:D,4,0)</f>
        <v>0.43544303797468353</v>
      </c>
      <c r="E61" s="5">
        <f t="shared" si="0"/>
        <v>9.0903088607594924</v>
      </c>
      <c r="F61" s="5" cm="1">
        <f t="array" ref="F61">_xlfn.IFS(
    AND(C61&gt;C$535,D61&lt;D$535),1,
    AND(C61&gt;C$535,D61&gt;D$535),2,
    AND(C61&lt;C$535,D61&lt;D$535),4,
    AND(C61&lt;C$535,D61&gt;D$535),3,
    TRUE,""
)</f>
        <v>2</v>
      </c>
    </row>
    <row r="62" spans="1:6" x14ac:dyDescent="0.35">
      <c r="A62" s="1" t="s">
        <v>435</v>
      </c>
      <c r="B62" s="2">
        <v>8462</v>
      </c>
      <c r="C62" s="2">
        <v>137197</v>
      </c>
      <c r="D62" s="5">
        <f>+VLOOKUP(A62,Sheet6!A:D,4,0)</f>
        <v>0.42477876106194695</v>
      </c>
      <c r="E62" s="5">
        <f t="shared" si="0"/>
        <v>3.5944778761061951</v>
      </c>
      <c r="F62" s="5" cm="1">
        <f t="array" ref="F62">_xlfn.IFS(
    AND(C62&gt;C$535,D62&lt;D$535),1,
    AND(C62&gt;C$535,D62&gt;D$535),2,
    AND(C62&lt;C$535,D62&lt;D$535),4,
    AND(C62&lt;C$535,D62&gt;D$535),3,
    TRUE,""
)</f>
        <v>3</v>
      </c>
    </row>
    <row r="63" spans="1:6" x14ac:dyDescent="0.35">
      <c r="A63" s="1" t="s">
        <v>487</v>
      </c>
      <c r="B63" s="2">
        <v>5471</v>
      </c>
      <c r="C63" s="2">
        <v>191375</v>
      </c>
      <c r="D63" s="5">
        <f>+VLOOKUP(A63,Sheet6!A:D,4,0)</f>
        <v>0.42168674698795178</v>
      </c>
      <c r="E63" s="5">
        <f t="shared" si="0"/>
        <v>2.3070481927710844</v>
      </c>
      <c r="F63" s="5" cm="1">
        <f t="array" ref="F63">_xlfn.IFS(
    AND(C63&gt;C$535,D63&lt;D$535),1,
    AND(C63&gt;C$535,D63&gt;D$535),2,
    AND(C63&lt;C$535,D63&lt;D$535),4,
    AND(C63&lt;C$535,D63&gt;D$535),3,
    TRUE,""
)</f>
        <v>3</v>
      </c>
    </row>
    <row r="64" spans="1:6" x14ac:dyDescent="0.35">
      <c r="A64" s="1" t="s">
        <v>9</v>
      </c>
      <c r="B64" s="2">
        <v>12427</v>
      </c>
      <c r="C64" s="2">
        <v>235946</v>
      </c>
      <c r="D64" s="5">
        <f>+VLOOKUP(A64,Sheet6!A:D,4,0)</f>
        <v>0.41785714285714287</v>
      </c>
      <c r="E64" s="5">
        <f t="shared" si="0"/>
        <v>5.192710714285715</v>
      </c>
      <c r="F64" s="5" cm="1">
        <f t="array" ref="F64">_xlfn.IFS(
    AND(C64&gt;C$535,D64&lt;D$535),1,
    AND(C64&gt;C$535,D64&gt;D$535),2,
    AND(C64&lt;C$535,D64&lt;D$535),4,
    AND(C64&lt;C$535,D64&gt;D$535),3,
    TRUE,""
)</f>
        <v>2</v>
      </c>
    </row>
    <row r="65" spans="1:6" x14ac:dyDescent="0.35">
      <c r="A65" s="1" t="s">
        <v>449</v>
      </c>
      <c r="B65" s="1">
        <v>4.3</v>
      </c>
      <c r="C65" s="2">
        <v>361421</v>
      </c>
      <c r="D65" s="5">
        <f>+VLOOKUP(A65,Sheet6!A:D,4,0)</f>
        <v>0.41717791411042948</v>
      </c>
      <c r="E65" s="5">
        <f t="shared" si="0"/>
        <v>1.7938650306748467E-3</v>
      </c>
      <c r="F65" s="5" cm="1">
        <f t="array" ref="F65">_xlfn.IFS(
    AND(C65&gt;C$535,D65&lt;D$535),1,
    AND(C65&gt;C$535,D65&gt;D$535),2,
    AND(C65&lt;C$535,D65&lt;D$535),4,
    AND(C65&lt;C$535,D65&gt;D$535),3,
    TRUE,""
)</f>
        <v>2</v>
      </c>
    </row>
    <row r="66" spans="1:6" x14ac:dyDescent="0.35">
      <c r="A66" s="1" t="s">
        <v>474</v>
      </c>
      <c r="B66" s="2">
        <v>14201</v>
      </c>
      <c r="C66" s="2">
        <v>181118</v>
      </c>
      <c r="D66" s="5">
        <f>+VLOOKUP(A66,Sheet6!A:D,4,0)</f>
        <v>0.41343669250645998</v>
      </c>
      <c r="E66" s="5">
        <f t="shared" si="0"/>
        <v>5.8712144702842375</v>
      </c>
      <c r="F66" s="5" cm="1">
        <f t="array" ref="F66">_xlfn.IFS(
    AND(C66&gt;C$535,D66&lt;D$535),1,
    AND(C66&gt;C$535,D66&gt;D$535),2,
    AND(C66&lt;C$535,D66&lt;D$535),4,
    AND(C66&lt;C$535,D66&gt;D$535),3,
    TRUE,""
)</f>
        <v>3</v>
      </c>
    </row>
    <row r="67" spans="1:6" x14ac:dyDescent="0.35">
      <c r="A67" s="1" t="s">
        <v>320</v>
      </c>
      <c r="B67" s="2">
        <v>14629</v>
      </c>
      <c r="C67" s="1">
        <v>259.48</v>
      </c>
      <c r="D67" s="5">
        <f>+VLOOKUP(A67,Sheet6!A:D,4,0)</f>
        <v>0.41242937853107342</v>
      </c>
      <c r="E67" s="5">
        <f t="shared" si="0"/>
        <v>6.0334293785310731</v>
      </c>
      <c r="F67" s="5" cm="1">
        <f t="array" ref="F67">_xlfn.IFS(
    AND(C67&gt;C$535,D67&lt;D$535),1,
    AND(C67&gt;C$535,D67&gt;D$535),2,
    AND(C67&lt;C$535,D67&lt;D$535),4,
    AND(C67&lt;C$535,D67&gt;D$535),3,
    TRUE,""
)</f>
        <v>3</v>
      </c>
    </row>
    <row r="68" spans="1:6" x14ac:dyDescent="0.35">
      <c r="A68" s="1" t="s">
        <v>526</v>
      </c>
      <c r="B68" s="2">
        <v>7022</v>
      </c>
      <c r="C68" s="1">
        <v>202.93</v>
      </c>
      <c r="D68" s="5">
        <f>+VLOOKUP(A68,Sheet6!A:D,4,0)</f>
        <v>0.41176470588235298</v>
      </c>
      <c r="E68" s="5">
        <f t="shared" ref="E68:E131" si="1">(B68*D68)/1000</f>
        <v>2.8914117647058823</v>
      </c>
      <c r="F68" s="5" cm="1">
        <f t="array" ref="F68">_xlfn.IFS(
    AND(C68&gt;C$535,D68&lt;D$535),1,
    AND(C68&gt;C$535,D68&gt;D$535),2,
    AND(C68&lt;C$535,D68&lt;D$535),4,
    AND(C68&lt;C$535,D68&gt;D$535),3,
    TRUE,""
)</f>
        <v>3</v>
      </c>
    </row>
    <row r="69" spans="1:6" x14ac:dyDescent="0.35">
      <c r="A69" s="1" t="s">
        <v>131</v>
      </c>
      <c r="B69" s="2">
        <v>7298</v>
      </c>
      <c r="C69" s="2">
        <v>233611</v>
      </c>
      <c r="D69" s="5">
        <f>+VLOOKUP(A69,Sheet6!A:D,4,0)</f>
        <v>0.41035856573705182</v>
      </c>
      <c r="E69" s="5">
        <f t="shared" si="1"/>
        <v>2.9947968127490041</v>
      </c>
      <c r="F69" s="5" cm="1">
        <f t="array" ref="F69">_xlfn.IFS(
    AND(C69&gt;C$535,D69&lt;D$535),1,
    AND(C69&gt;C$535,D69&gt;D$535),2,
    AND(C69&lt;C$535,D69&lt;D$535),4,
    AND(C69&lt;C$535,D69&gt;D$535),3,
    TRUE,""
)</f>
        <v>2</v>
      </c>
    </row>
    <row r="70" spans="1:6" x14ac:dyDescent="0.35">
      <c r="A70" s="1" t="s">
        <v>307</v>
      </c>
      <c r="B70" s="1">
        <v>8.77</v>
      </c>
      <c r="C70" s="2">
        <v>246752</v>
      </c>
      <c r="D70" s="5">
        <f>+VLOOKUP(A70,Sheet6!A:D,4,0)</f>
        <v>0.41017964071856294</v>
      </c>
      <c r="E70" s="5">
        <f t="shared" si="1"/>
        <v>3.597275449101797E-3</v>
      </c>
      <c r="F70" s="5" cm="1">
        <f t="array" ref="F70">_xlfn.IFS(
    AND(C70&gt;C$535,D70&lt;D$535),1,
    AND(C70&gt;C$535,D70&gt;D$535),2,
    AND(C70&lt;C$535,D70&lt;D$535),4,
    AND(C70&lt;C$535,D70&gt;D$535),3,
    TRUE,""
)</f>
        <v>2</v>
      </c>
    </row>
    <row r="71" spans="1:6" x14ac:dyDescent="0.35">
      <c r="A71" s="1" t="s">
        <v>496</v>
      </c>
      <c r="B71" s="2">
        <v>56616</v>
      </c>
      <c r="C71" s="2">
        <v>283102</v>
      </c>
      <c r="D71" s="5">
        <f>+VLOOKUP(A71,Sheet6!A:D,4,0)</f>
        <v>0.40718562874251502</v>
      </c>
      <c r="E71" s="5">
        <f t="shared" si="1"/>
        <v>23.053221556886232</v>
      </c>
      <c r="F71" s="5" cm="1">
        <f t="array" ref="F71">_xlfn.IFS(
    AND(C71&gt;C$535,D71&lt;D$535),1,
    AND(C71&gt;C$535,D71&gt;D$535),2,
    AND(C71&lt;C$535,D71&lt;D$535),4,
    AND(C71&lt;C$535,D71&gt;D$535),3,
    TRUE,""
)</f>
        <v>2</v>
      </c>
    </row>
    <row r="72" spans="1:6" x14ac:dyDescent="0.35">
      <c r="A72" s="1" t="s">
        <v>70</v>
      </c>
      <c r="B72" s="2">
        <v>22552</v>
      </c>
      <c r="C72" s="2">
        <v>200866</v>
      </c>
      <c r="D72" s="5">
        <f>+VLOOKUP(A72,Sheet6!A:D,4,0)</f>
        <v>0.40697674418604651</v>
      </c>
      <c r="E72" s="5">
        <f t="shared" si="1"/>
        <v>9.1781395348837211</v>
      </c>
      <c r="F72" s="5" cm="1">
        <f t="array" ref="F72">_xlfn.IFS(
    AND(C72&gt;C$535,D72&lt;D$535),1,
    AND(C72&gt;C$535,D72&gt;D$535),2,
    AND(C72&lt;C$535,D72&lt;D$535),4,
    AND(C72&lt;C$535,D72&gt;D$535),3,
    TRUE,""
)</f>
        <v>3</v>
      </c>
    </row>
    <row r="73" spans="1:6" x14ac:dyDescent="0.35">
      <c r="A73" s="1" t="s">
        <v>258</v>
      </c>
      <c r="B73" s="2">
        <v>28325</v>
      </c>
      <c r="C73" s="2">
        <v>256383</v>
      </c>
      <c r="D73" s="5">
        <f>+VLOOKUP(A73,Sheet6!A:D,4,0)</f>
        <v>0.40657084188911702</v>
      </c>
      <c r="E73" s="5">
        <f t="shared" si="1"/>
        <v>11.516119096509239</v>
      </c>
      <c r="F73" s="5" cm="1">
        <f t="array" ref="F73">_xlfn.IFS(
    AND(C73&gt;C$535,D73&lt;D$535),1,
    AND(C73&gt;C$535,D73&gt;D$535),2,
    AND(C73&lt;C$535,D73&lt;D$535),4,
    AND(C73&lt;C$535,D73&gt;D$535),3,
    TRUE,""
)</f>
        <v>2</v>
      </c>
    </row>
    <row r="74" spans="1:6" x14ac:dyDescent="0.35">
      <c r="A74" s="1" t="s">
        <v>329</v>
      </c>
      <c r="B74" s="2">
        <v>28064</v>
      </c>
      <c r="C74" s="2">
        <v>263465</v>
      </c>
      <c r="D74" s="5">
        <f>+VLOOKUP(A74,Sheet6!A:D,4,0)</f>
        <v>0.40310077519379844</v>
      </c>
      <c r="E74" s="5">
        <f t="shared" si="1"/>
        <v>11.31262015503876</v>
      </c>
      <c r="F74" s="5" cm="1">
        <f t="array" ref="F74">_xlfn.IFS(
    AND(C74&gt;C$535,D74&lt;D$535),1,
    AND(C74&gt;C$535,D74&gt;D$535),2,
    AND(C74&lt;C$535,D74&lt;D$535),4,
    AND(C74&lt;C$535,D74&gt;D$535),3,
    TRUE,""
)</f>
        <v>2</v>
      </c>
    </row>
    <row r="75" spans="1:6" x14ac:dyDescent="0.35">
      <c r="A75" s="1" t="s">
        <v>530</v>
      </c>
      <c r="B75" s="1">
        <v>2.89</v>
      </c>
      <c r="C75" s="2">
        <v>220095</v>
      </c>
      <c r="D75" s="5">
        <f>+VLOOKUP(A75,Sheet6!A:D,4,0)</f>
        <v>0.39999999999999997</v>
      </c>
      <c r="E75" s="5">
        <f t="shared" si="1"/>
        <v>1.1559999999999999E-3</v>
      </c>
      <c r="F75" s="5" cm="1">
        <f t="array" ref="F75">_xlfn.IFS(
    AND(C75&gt;C$535,D75&lt;D$535),1,
    AND(C75&gt;C$535,D75&gt;D$535),2,
    AND(C75&lt;C$535,D75&lt;D$535),4,
    AND(C75&lt;C$535,D75&gt;D$535),3,
    TRUE,""
)</f>
        <v>2</v>
      </c>
    </row>
    <row r="76" spans="1:6" x14ac:dyDescent="0.35">
      <c r="A76" s="1" t="s">
        <v>207</v>
      </c>
      <c r="B76" s="2">
        <v>41931</v>
      </c>
      <c r="C76" s="2">
        <v>269392</v>
      </c>
      <c r="D76" s="5">
        <f>+VLOOKUP(A76,Sheet6!A:D,4,0)</f>
        <v>0.39786223277909738</v>
      </c>
      <c r="E76" s="5">
        <f t="shared" si="1"/>
        <v>16.682761282660334</v>
      </c>
      <c r="F76" s="5" cm="1">
        <f t="array" ref="F76">_xlfn.IFS(
    AND(C76&gt;C$535,D76&lt;D$535),1,
    AND(C76&gt;C$535,D76&gt;D$535),2,
    AND(C76&lt;C$535,D76&lt;D$535),4,
    AND(C76&lt;C$535,D76&gt;D$535),3,
    TRUE,""
)</f>
        <v>2</v>
      </c>
    </row>
    <row r="77" spans="1:6" x14ac:dyDescent="0.35">
      <c r="A77" s="1" t="s">
        <v>288</v>
      </c>
      <c r="B77" s="2">
        <v>12341</v>
      </c>
      <c r="C77" s="2">
        <v>137351</v>
      </c>
      <c r="D77" s="5">
        <f>+VLOOKUP(A77,Sheet6!A:D,4,0)</f>
        <v>0.39732142857142855</v>
      </c>
      <c r="E77" s="5">
        <f t="shared" si="1"/>
        <v>4.9033437500000003</v>
      </c>
      <c r="F77" s="5" cm="1">
        <f t="array" ref="F77">_xlfn.IFS(
    AND(C77&gt;C$535,D77&lt;D$535),1,
    AND(C77&gt;C$535,D77&gt;D$535),2,
    AND(C77&lt;C$535,D77&lt;D$535),4,
    AND(C77&lt;C$535,D77&gt;D$535),3,
    TRUE,""
)</f>
        <v>3</v>
      </c>
    </row>
    <row r="78" spans="1:6" x14ac:dyDescent="0.35">
      <c r="A78" s="1" t="s">
        <v>238</v>
      </c>
      <c r="B78" s="2">
        <v>15903</v>
      </c>
      <c r="C78" s="2">
        <v>354199</v>
      </c>
      <c r="D78" s="5">
        <f>+VLOOKUP(A78,Sheet6!A:D,4,0)</f>
        <v>0.39699570815450647</v>
      </c>
      <c r="E78" s="5">
        <f t="shared" si="1"/>
        <v>6.3134227467811161</v>
      </c>
      <c r="F78" s="5" cm="1">
        <f t="array" ref="F78">_xlfn.IFS(
    AND(C78&gt;C$535,D78&lt;D$535),1,
    AND(C78&gt;C$535,D78&gt;D$535),2,
    AND(C78&lt;C$535,D78&lt;D$535),4,
    AND(C78&lt;C$535,D78&gt;D$535),3,
    TRUE,""
)</f>
        <v>2</v>
      </c>
    </row>
    <row r="79" spans="1:6" x14ac:dyDescent="0.35">
      <c r="A79" s="1" t="s">
        <v>382</v>
      </c>
      <c r="B79" s="2">
        <v>2652</v>
      </c>
      <c r="C79" s="2">
        <v>196837</v>
      </c>
      <c r="D79" s="5">
        <f>+VLOOKUP(A79,Sheet6!A:D,4,0)</f>
        <v>0.3968253968253968</v>
      </c>
      <c r="E79" s="5">
        <f t="shared" si="1"/>
        <v>1.0523809523809522</v>
      </c>
      <c r="F79" s="5" cm="1">
        <f t="array" ref="F79">_xlfn.IFS(
    AND(C79&gt;C$535,D79&lt;D$535),1,
    AND(C79&gt;C$535,D79&gt;D$535),2,
    AND(C79&lt;C$535,D79&lt;D$535),4,
    AND(C79&lt;C$535,D79&gt;D$535),3,
    TRUE,""
)</f>
        <v>3</v>
      </c>
    </row>
    <row r="80" spans="1:6" x14ac:dyDescent="0.35">
      <c r="A80" s="1" t="s">
        <v>119</v>
      </c>
      <c r="B80" s="2">
        <v>17362</v>
      </c>
      <c r="C80" s="2">
        <v>311606</v>
      </c>
      <c r="D80" s="5">
        <f>+VLOOKUP(A80,Sheet6!A:D,4,0)</f>
        <v>0.3966480446927374</v>
      </c>
      <c r="E80" s="5">
        <f t="shared" si="1"/>
        <v>6.8866033519553067</v>
      </c>
      <c r="F80" s="5" cm="1">
        <f t="array" ref="F80">_xlfn.IFS(
    AND(C80&gt;C$535,D80&lt;D$535),1,
    AND(C80&gt;C$535,D80&gt;D$535),2,
    AND(C80&lt;C$535,D80&lt;D$535),4,
    AND(C80&lt;C$535,D80&gt;D$535),3,
    TRUE,""
)</f>
        <v>2</v>
      </c>
    </row>
    <row r="81" spans="1:6" x14ac:dyDescent="0.35">
      <c r="A81" s="1" t="s">
        <v>123</v>
      </c>
      <c r="B81" s="2">
        <v>3778</v>
      </c>
      <c r="C81" s="2">
        <v>248797</v>
      </c>
      <c r="D81" s="5">
        <f>+VLOOKUP(A81,Sheet6!A:D,4,0)</f>
        <v>0.39622641509433959</v>
      </c>
      <c r="E81" s="5">
        <f t="shared" si="1"/>
        <v>1.4969433962264149</v>
      </c>
      <c r="F81" s="5" cm="1">
        <f t="array" ref="F81">_xlfn.IFS(
    AND(C81&gt;C$535,D81&lt;D$535),1,
    AND(C81&gt;C$535,D81&gt;D$535),2,
    AND(C81&lt;C$535,D81&lt;D$535),4,
    AND(C81&lt;C$535,D81&gt;D$535),3,
    TRUE,""
)</f>
        <v>2</v>
      </c>
    </row>
    <row r="82" spans="1:6" x14ac:dyDescent="0.35">
      <c r="A82" s="1" t="s">
        <v>30</v>
      </c>
      <c r="B82" s="2">
        <v>10097</v>
      </c>
      <c r="C82" s="2">
        <v>259582</v>
      </c>
      <c r="D82" s="5">
        <f>+VLOOKUP(A82,Sheet6!A:D,4,0)</f>
        <v>0.39542483660130717</v>
      </c>
      <c r="E82" s="5">
        <f t="shared" si="1"/>
        <v>3.9926045751633983</v>
      </c>
      <c r="F82" s="5" cm="1">
        <f t="array" ref="F82">_xlfn.IFS(
    AND(C82&gt;C$535,D82&lt;D$535),1,
    AND(C82&gt;C$535,D82&gt;D$535),2,
    AND(C82&lt;C$535,D82&lt;D$535),4,
    AND(C82&lt;C$535,D82&gt;D$535),3,
    TRUE,""
)</f>
        <v>2</v>
      </c>
    </row>
    <row r="83" spans="1:6" x14ac:dyDescent="0.35">
      <c r="A83" s="1" t="s">
        <v>111</v>
      </c>
      <c r="B83" s="2">
        <v>20541</v>
      </c>
      <c r="C83" s="1">
        <v>238.26</v>
      </c>
      <c r="D83" s="5">
        <f>+VLOOKUP(A83,Sheet6!A:D,4,0)</f>
        <v>0.39303482587064681</v>
      </c>
      <c r="E83" s="5">
        <f t="shared" si="1"/>
        <v>8.0733283582089559</v>
      </c>
      <c r="F83" s="5" cm="1">
        <f t="array" ref="F83">_xlfn.IFS(
    AND(C83&gt;C$535,D83&lt;D$535),1,
    AND(C83&gt;C$535,D83&gt;D$535),2,
    AND(C83&lt;C$535,D83&lt;D$535),4,
    AND(C83&lt;C$535,D83&gt;D$535),3,
    TRUE,""
)</f>
        <v>3</v>
      </c>
    </row>
    <row r="84" spans="1:6" x14ac:dyDescent="0.35">
      <c r="A84" s="1" t="s">
        <v>186</v>
      </c>
      <c r="B84" s="2">
        <v>7156</v>
      </c>
      <c r="C84" s="2">
        <v>186145</v>
      </c>
      <c r="D84" s="5">
        <f>+VLOOKUP(A84,Sheet6!A:D,4,0)</f>
        <v>0.39086294416243655</v>
      </c>
      <c r="E84" s="5">
        <f t="shared" si="1"/>
        <v>2.797015228426396</v>
      </c>
      <c r="F84" s="5" cm="1">
        <f t="array" ref="F84">_xlfn.IFS(
    AND(C84&gt;C$535,D84&lt;D$535),1,
    AND(C84&gt;C$535,D84&gt;D$535),2,
    AND(C84&lt;C$535,D84&lt;D$535),4,
    AND(C84&lt;C$535,D84&gt;D$535),3,
    TRUE,""
)</f>
        <v>3</v>
      </c>
    </row>
    <row r="85" spans="1:6" x14ac:dyDescent="0.35">
      <c r="A85" s="1" t="s">
        <v>318</v>
      </c>
      <c r="B85" s="2">
        <v>23423</v>
      </c>
      <c r="C85" s="2">
        <v>282843</v>
      </c>
      <c r="D85" s="5">
        <f>+VLOOKUP(A85,Sheet6!A:D,4,0)</f>
        <v>0.38986784140969161</v>
      </c>
      <c r="E85" s="5">
        <f t="shared" si="1"/>
        <v>9.1318744493392057</v>
      </c>
      <c r="F85" s="5" cm="1">
        <f t="array" ref="F85">_xlfn.IFS(
    AND(C85&gt;C$535,D85&lt;D$535),1,
    AND(C85&gt;C$535,D85&gt;D$535),2,
    AND(C85&lt;C$535,D85&lt;D$535),4,
    AND(C85&lt;C$535,D85&gt;D$535),3,
    TRUE,""
)</f>
        <v>2</v>
      </c>
    </row>
    <row r="86" spans="1:6" x14ac:dyDescent="0.35">
      <c r="A86" s="1" t="s">
        <v>129</v>
      </c>
      <c r="B86" s="2">
        <v>4272</v>
      </c>
      <c r="C86" s="2">
        <v>459994</v>
      </c>
      <c r="D86" s="5">
        <f>+VLOOKUP(A86,Sheet6!A:D,4,0)</f>
        <v>0.38805970149253732</v>
      </c>
      <c r="E86" s="5">
        <f t="shared" si="1"/>
        <v>1.6577910447761195</v>
      </c>
      <c r="F86" s="5" cm="1">
        <f t="array" ref="F86">_xlfn.IFS(
    AND(C86&gt;C$535,D86&lt;D$535),1,
    AND(C86&gt;C$535,D86&gt;D$535),2,
    AND(C86&lt;C$535,D86&lt;D$535),4,
    AND(C86&lt;C$535,D86&gt;D$535),3,
    TRUE,""
)</f>
        <v>2</v>
      </c>
    </row>
    <row r="87" spans="1:6" x14ac:dyDescent="0.35">
      <c r="A87" s="1" t="s">
        <v>534</v>
      </c>
      <c r="B87" s="2">
        <v>23138</v>
      </c>
      <c r="C87" s="2">
        <v>328116</v>
      </c>
      <c r="D87" s="5">
        <f>+VLOOKUP(A87,Sheet6!A:D,4,0)</f>
        <v>0.38562091503267976</v>
      </c>
      <c r="E87" s="5">
        <f t="shared" si="1"/>
        <v>8.9224967320261435</v>
      </c>
      <c r="F87" s="5" cm="1">
        <f t="array" ref="F87">_xlfn.IFS(
    AND(C87&gt;C$535,D87&lt;D$535),1,
    AND(C87&gt;C$535,D87&gt;D$535),2,
    AND(C87&lt;C$535,D87&lt;D$535),4,
    AND(C87&lt;C$535,D87&gt;D$535),3,
    TRUE,""
)</f>
        <v>2</v>
      </c>
    </row>
    <row r="88" spans="1:6" x14ac:dyDescent="0.35">
      <c r="A88" s="1" t="s">
        <v>225</v>
      </c>
      <c r="B88" s="2">
        <v>52645</v>
      </c>
      <c r="C88" s="2">
        <v>286884</v>
      </c>
      <c r="D88" s="5">
        <f>+VLOOKUP(A88,Sheet6!A:D,4,0)</f>
        <v>0.38552540013917885</v>
      </c>
      <c r="E88" s="5">
        <f t="shared" si="1"/>
        <v>20.295984690327071</v>
      </c>
      <c r="F88" s="5" cm="1">
        <f t="array" ref="F88">_xlfn.IFS(
    AND(C88&gt;C$535,D88&lt;D$535),1,
    AND(C88&gt;C$535,D88&gt;D$535),2,
    AND(C88&lt;C$535,D88&lt;D$535),4,
    AND(C88&lt;C$535,D88&gt;D$535),3,
    TRUE,""
)</f>
        <v>2</v>
      </c>
    </row>
    <row r="89" spans="1:6" x14ac:dyDescent="0.35">
      <c r="A89" s="1" t="s">
        <v>177</v>
      </c>
      <c r="B89" s="2">
        <v>14247</v>
      </c>
      <c r="C89" s="2">
        <v>169719</v>
      </c>
      <c r="D89" s="5">
        <f>+VLOOKUP(A89,Sheet6!A:D,4,0)</f>
        <v>0.38423645320197047</v>
      </c>
      <c r="E89" s="5">
        <f t="shared" si="1"/>
        <v>5.4742167487684741</v>
      </c>
      <c r="F89" s="5" cm="1">
        <f t="array" ref="F89">_xlfn.IFS(
    AND(C89&gt;C$535,D89&lt;D$535),1,
    AND(C89&gt;C$535,D89&gt;D$535),2,
    AND(C89&lt;C$535,D89&lt;D$535),4,
    AND(C89&lt;C$535,D89&gt;D$535),3,
    TRUE,""
)</f>
        <v>3</v>
      </c>
    </row>
    <row r="90" spans="1:6" x14ac:dyDescent="0.35">
      <c r="A90" s="1" t="s">
        <v>447</v>
      </c>
      <c r="B90" s="2">
        <v>26335</v>
      </c>
      <c r="C90" s="2">
        <v>222249</v>
      </c>
      <c r="D90" s="5">
        <f>+VLOOKUP(A90,Sheet6!A:D,4,0)</f>
        <v>0.38263665594855306</v>
      </c>
      <c r="E90" s="5">
        <f t="shared" si="1"/>
        <v>10.076736334405144</v>
      </c>
      <c r="F90" s="5" cm="1">
        <f t="array" ref="F90">_xlfn.IFS(
    AND(C90&gt;C$535,D90&lt;D$535),1,
    AND(C90&gt;C$535,D90&gt;D$535),2,
    AND(C90&lt;C$535,D90&lt;D$535),4,
    AND(C90&lt;C$535,D90&gt;D$535),3,
    TRUE,""
)</f>
        <v>2</v>
      </c>
    </row>
    <row r="91" spans="1:6" x14ac:dyDescent="0.35">
      <c r="A91" s="1" t="s">
        <v>169</v>
      </c>
      <c r="B91" s="2">
        <v>4806</v>
      </c>
      <c r="C91" s="2">
        <v>172916</v>
      </c>
      <c r="D91" s="5">
        <f>+VLOOKUP(A91,Sheet6!A:D,4,0)</f>
        <v>0.38157894736842102</v>
      </c>
      <c r="E91" s="5">
        <f t="shared" si="1"/>
        <v>1.8338684210526315</v>
      </c>
      <c r="F91" s="5" cm="1">
        <f t="array" ref="F91">_xlfn.IFS(
    AND(C91&gt;C$535,D91&lt;D$535),1,
    AND(C91&gt;C$535,D91&gt;D$535),2,
    AND(C91&lt;C$535,D91&lt;D$535),4,
    AND(C91&lt;C$535,D91&gt;D$535),3,
    TRUE,""
)</f>
        <v>3</v>
      </c>
    </row>
    <row r="92" spans="1:6" x14ac:dyDescent="0.35">
      <c r="A92" s="1" t="s">
        <v>206</v>
      </c>
      <c r="B92" s="2">
        <v>29705</v>
      </c>
      <c r="C92" s="2">
        <v>255579</v>
      </c>
      <c r="D92" s="5">
        <f>+VLOOKUP(A92,Sheet6!A:D,4,0)</f>
        <v>0.37914691943127965</v>
      </c>
      <c r="E92" s="5">
        <f t="shared" si="1"/>
        <v>11.262559241706162</v>
      </c>
      <c r="F92" s="5" cm="1">
        <f t="array" ref="F92">_xlfn.IFS(
    AND(C92&gt;C$535,D92&lt;D$535),1,
    AND(C92&gt;C$535,D92&gt;D$535),2,
    AND(C92&lt;C$535,D92&lt;D$535),4,
    AND(C92&lt;C$535,D92&gt;D$535),3,
    TRUE,""
)</f>
        <v>2</v>
      </c>
    </row>
    <row r="93" spans="1:6" x14ac:dyDescent="0.35">
      <c r="A93" s="1" t="s">
        <v>549</v>
      </c>
      <c r="B93" s="2">
        <v>42629</v>
      </c>
      <c r="C93" s="2">
        <v>261111</v>
      </c>
      <c r="D93" s="5">
        <f>+VLOOKUP(A93,Sheet6!A:D,4,0)</f>
        <v>0.3781749764816556</v>
      </c>
      <c r="E93" s="5">
        <f t="shared" si="1"/>
        <v>16.121221072436494</v>
      </c>
      <c r="F93" s="5" cm="1">
        <f t="array" ref="F93">_xlfn.IFS(
    AND(C93&gt;C$535,D93&lt;D$535),1,
    AND(C93&gt;C$535,D93&gt;D$535),2,
    AND(C93&lt;C$535,D93&lt;D$535),4,
    AND(C93&lt;C$535,D93&gt;D$535),3,
    TRUE,""
)</f>
        <v>2</v>
      </c>
    </row>
    <row r="94" spans="1:6" x14ac:dyDescent="0.35">
      <c r="A94" s="1" t="s">
        <v>276</v>
      </c>
      <c r="B94" s="2">
        <v>17296</v>
      </c>
      <c r="C94" s="2">
        <v>249187</v>
      </c>
      <c r="D94" s="5">
        <f>+VLOOKUP(A94,Sheet6!A:D,4,0)</f>
        <v>0.3779904306220096</v>
      </c>
      <c r="E94" s="5">
        <f t="shared" si="1"/>
        <v>6.5377224880382778</v>
      </c>
      <c r="F94" s="5" cm="1">
        <f t="array" ref="F94">_xlfn.IFS(
    AND(C94&gt;C$535,D94&lt;D$535),1,
    AND(C94&gt;C$535,D94&gt;D$535),2,
    AND(C94&lt;C$535,D94&lt;D$535),4,
    AND(C94&lt;C$535,D94&gt;D$535),3,
    TRUE,""
)</f>
        <v>2</v>
      </c>
    </row>
    <row r="95" spans="1:6" x14ac:dyDescent="0.35">
      <c r="A95" s="1" t="s">
        <v>65</v>
      </c>
      <c r="B95" s="2">
        <v>46436</v>
      </c>
      <c r="C95" s="2">
        <v>316416</v>
      </c>
      <c r="D95" s="5">
        <f>+VLOOKUP(A95,Sheet6!A:D,4,0)</f>
        <v>0.37327188940092171</v>
      </c>
      <c r="E95" s="5">
        <f t="shared" si="1"/>
        <v>17.333253456221204</v>
      </c>
      <c r="F95" s="5" cm="1">
        <f t="array" ref="F95">_xlfn.IFS(
    AND(C95&gt;C$535,D95&lt;D$535),1,
    AND(C95&gt;C$535,D95&gt;D$535),2,
    AND(C95&lt;C$535,D95&lt;D$535),4,
    AND(C95&lt;C$535,D95&gt;D$535),3,
    TRUE,""
)</f>
        <v>2</v>
      </c>
    </row>
    <row r="96" spans="1:6" x14ac:dyDescent="0.35">
      <c r="A96" s="1" t="s">
        <v>88</v>
      </c>
      <c r="B96" s="2">
        <v>23675</v>
      </c>
      <c r="C96" s="2">
        <v>242157</v>
      </c>
      <c r="D96" s="5">
        <f>+VLOOKUP(A96,Sheet6!A:D,4,0)</f>
        <v>0.37298387096774194</v>
      </c>
      <c r="E96" s="5">
        <f t="shared" si="1"/>
        <v>8.83039314516129</v>
      </c>
      <c r="F96" s="5" cm="1">
        <f t="array" ref="F96">_xlfn.IFS(
    AND(C96&gt;C$535,D96&lt;D$535),1,
    AND(C96&gt;C$535,D96&gt;D$535),2,
    AND(C96&lt;C$535,D96&lt;D$535),4,
    AND(C96&lt;C$535,D96&gt;D$535),3,
    TRUE,""
)</f>
        <v>2</v>
      </c>
    </row>
    <row r="97" spans="1:6" x14ac:dyDescent="0.35">
      <c r="A97" s="1" t="s">
        <v>228</v>
      </c>
      <c r="B97" s="2">
        <v>4941</v>
      </c>
      <c r="C97" s="2">
        <v>309249</v>
      </c>
      <c r="D97" s="5">
        <f>+VLOOKUP(A97,Sheet6!A:D,4,0)</f>
        <v>0.37083333333333335</v>
      </c>
      <c r="E97" s="5">
        <f t="shared" si="1"/>
        <v>1.8322875000000001</v>
      </c>
      <c r="F97" s="5" cm="1">
        <f t="array" ref="F97">_xlfn.IFS(
    AND(C97&gt;C$535,D97&lt;D$535),1,
    AND(C97&gt;C$535,D97&gt;D$535),2,
    AND(C97&lt;C$535,D97&lt;D$535),4,
    AND(C97&lt;C$535,D97&gt;D$535),3,
    TRUE,""
)</f>
        <v>2</v>
      </c>
    </row>
    <row r="98" spans="1:6" x14ac:dyDescent="0.35">
      <c r="A98" s="1" t="s">
        <v>180</v>
      </c>
      <c r="B98" s="2">
        <v>14101</v>
      </c>
      <c r="C98" s="1">
        <v>238.07</v>
      </c>
      <c r="D98" s="5">
        <f>+VLOOKUP(A98,Sheet6!A:D,4,0)</f>
        <v>0.37047353760445684</v>
      </c>
      <c r="E98" s="5">
        <f t="shared" si="1"/>
        <v>5.2240473537604455</v>
      </c>
      <c r="F98" s="5" cm="1">
        <f t="array" ref="F98">_xlfn.IFS(
    AND(C98&gt;C$535,D98&lt;D$535),1,
    AND(C98&gt;C$535,D98&gt;D$535),2,
    AND(C98&lt;C$535,D98&lt;D$535),4,
    AND(C98&lt;C$535,D98&gt;D$535),3,
    TRUE,""
)</f>
        <v>3</v>
      </c>
    </row>
    <row r="99" spans="1:6" x14ac:dyDescent="0.35">
      <c r="A99" s="1" t="s">
        <v>82</v>
      </c>
      <c r="B99" s="2">
        <v>10296</v>
      </c>
      <c r="C99" s="2">
        <v>263792</v>
      </c>
      <c r="D99" s="5">
        <f>+VLOOKUP(A99,Sheet6!A:D,4,0)</f>
        <v>0.36986301369863017</v>
      </c>
      <c r="E99" s="5">
        <f t="shared" si="1"/>
        <v>3.8081095890410963</v>
      </c>
      <c r="F99" s="5" cm="1">
        <f t="array" ref="F99">_xlfn.IFS(
    AND(C99&gt;C$535,D99&lt;D$535),1,
    AND(C99&gt;C$535,D99&gt;D$535),2,
    AND(C99&lt;C$535,D99&lt;D$535),4,
    AND(C99&lt;C$535,D99&gt;D$535),3,
    TRUE,""
)</f>
        <v>2</v>
      </c>
    </row>
    <row r="100" spans="1:6" x14ac:dyDescent="0.35">
      <c r="A100" s="1" t="s">
        <v>346</v>
      </c>
      <c r="B100" s="2">
        <v>33896</v>
      </c>
      <c r="C100" s="1">
        <v>290.48</v>
      </c>
      <c r="D100" s="5">
        <f>+VLOOKUP(A100,Sheet6!A:D,4,0)</f>
        <v>0.36748329621380843</v>
      </c>
      <c r="E100" s="5">
        <f t="shared" si="1"/>
        <v>12.45621380846325</v>
      </c>
      <c r="F100" s="5" cm="1">
        <f t="array" ref="F100">_xlfn.IFS(
    AND(C100&gt;C$535,D100&lt;D$535),1,
    AND(C100&gt;C$535,D100&gt;D$535),2,
    AND(C100&lt;C$535,D100&lt;D$535),4,
    AND(C100&lt;C$535,D100&gt;D$535),3,
    TRUE,""
)</f>
        <v>3</v>
      </c>
    </row>
    <row r="101" spans="1:6" x14ac:dyDescent="0.35">
      <c r="A101" s="1" t="s">
        <v>13</v>
      </c>
      <c r="B101" s="2">
        <v>43638</v>
      </c>
      <c r="C101" s="2">
        <v>360537</v>
      </c>
      <c r="D101" s="5">
        <f>+VLOOKUP(A101,Sheet6!A:D,4,0)</f>
        <v>0.3656441717791411</v>
      </c>
      <c r="E101" s="5">
        <f t="shared" si="1"/>
        <v>15.955980368098158</v>
      </c>
      <c r="F101" s="5" cm="1">
        <f t="array" ref="F101">_xlfn.IFS(
    AND(C101&gt;C$535,D101&lt;D$535),1,
    AND(C101&gt;C$535,D101&gt;D$535),2,
    AND(C101&lt;C$535,D101&lt;D$535),4,
    AND(C101&lt;C$535,D101&gt;D$535),3,
    TRUE,""
)</f>
        <v>2</v>
      </c>
    </row>
    <row r="102" spans="1:6" x14ac:dyDescent="0.35">
      <c r="A102" s="1" t="s">
        <v>309</v>
      </c>
      <c r="B102" s="2">
        <v>9279</v>
      </c>
      <c r="C102" s="2">
        <v>280316</v>
      </c>
      <c r="D102" s="5">
        <f>+VLOOKUP(A102,Sheet6!A:D,4,0)</f>
        <v>0.36507936507936506</v>
      </c>
      <c r="E102" s="5">
        <f t="shared" si="1"/>
        <v>3.3875714285714285</v>
      </c>
      <c r="F102" s="5" cm="1">
        <f t="array" ref="F102">_xlfn.IFS(
    AND(C102&gt;C$535,D102&lt;D$535),1,
    AND(C102&gt;C$535,D102&gt;D$535),2,
    AND(C102&lt;C$535,D102&lt;D$535),4,
    AND(C102&lt;C$535,D102&gt;D$535),3,
    TRUE,""
)</f>
        <v>2</v>
      </c>
    </row>
    <row r="103" spans="1:6" x14ac:dyDescent="0.35">
      <c r="A103" s="1" t="s">
        <v>215</v>
      </c>
      <c r="B103" s="2">
        <v>7062</v>
      </c>
      <c r="C103" s="2">
        <v>156757</v>
      </c>
      <c r="D103" s="5">
        <f>+VLOOKUP(A103,Sheet6!A:D,4,0)</f>
        <v>0.36480686695278969</v>
      </c>
      <c r="E103" s="5">
        <f t="shared" si="1"/>
        <v>2.5762660944206011</v>
      </c>
      <c r="F103" s="5" cm="1">
        <f t="array" ref="F103">_xlfn.IFS(
    AND(C103&gt;C$535,D103&lt;D$535),1,
    AND(C103&gt;C$535,D103&gt;D$535),2,
    AND(C103&lt;C$535,D103&lt;D$535),4,
    AND(C103&lt;C$535,D103&gt;D$535),3,
    TRUE,""
)</f>
        <v>3</v>
      </c>
    </row>
    <row r="104" spans="1:6" x14ac:dyDescent="0.35">
      <c r="A104" s="1" t="s">
        <v>533</v>
      </c>
      <c r="B104" s="2">
        <v>2951</v>
      </c>
      <c r="C104" s="2">
        <v>204311</v>
      </c>
      <c r="D104" s="5">
        <f>+VLOOKUP(A104,Sheet6!A:D,4,0)</f>
        <v>0.36111111111111116</v>
      </c>
      <c r="E104" s="5">
        <f t="shared" si="1"/>
        <v>1.0656388888888892</v>
      </c>
      <c r="F104" s="5" cm="1">
        <f t="array" ref="F104">_xlfn.IFS(
    AND(C104&gt;C$535,D104&lt;D$535),1,
    AND(C104&gt;C$535,D104&gt;D$535),2,
    AND(C104&lt;C$535,D104&lt;D$535),4,
    AND(C104&lt;C$535,D104&gt;D$535),3,
    TRUE,""
)</f>
        <v>3</v>
      </c>
    </row>
    <row r="105" spans="1:6" x14ac:dyDescent="0.35">
      <c r="A105" s="1" t="s">
        <v>147</v>
      </c>
      <c r="B105" s="2">
        <v>38782</v>
      </c>
      <c r="C105" s="1">
        <v>210.95</v>
      </c>
      <c r="D105" s="5">
        <f>+VLOOKUP(A105,Sheet6!A:D,4,0)</f>
        <v>0.36031042128603108</v>
      </c>
      <c r="E105" s="5">
        <f t="shared" si="1"/>
        <v>13.973558758314857</v>
      </c>
      <c r="F105" s="5" cm="1">
        <f t="array" ref="F105">_xlfn.IFS(
    AND(C105&gt;C$535,D105&lt;D$535),1,
    AND(C105&gt;C$535,D105&gt;D$535),2,
    AND(C105&lt;C$535,D105&lt;D$535),4,
    AND(C105&lt;C$535,D105&gt;D$535),3,
    TRUE,""
)</f>
        <v>3</v>
      </c>
    </row>
    <row r="106" spans="1:6" x14ac:dyDescent="0.35">
      <c r="A106" s="1" t="s">
        <v>359</v>
      </c>
      <c r="B106" s="2">
        <v>12512</v>
      </c>
      <c r="C106" s="2">
        <v>309132</v>
      </c>
      <c r="D106" s="5">
        <f>+VLOOKUP(A106,Sheet6!A:D,4,0)</f>
        <v>0.35983263598326359</v>
      </c>
      <c r="E106" s="5">
        <f t="shared" si="1"/>
        <v>4.5022259414225934</v>
      </c>
      <c r="F106" s="5" cm="1">
        <f t="array" ref="F106">_xlfn.IFS(
    AND(C106&gt;C$535,D106&lt;D$535),1,
    AND(C106&gt;C$535,D106&gt;D$535),2,
    AND(C106&lt;C$535,D106&lt;D$535),4,
    AND(C106&lt;C$535,D106&gt;D$535),3,
    TRUE,""
)</f>
        <v>2</v>
      </c>
    </row>
    <row r="107" spans="1:6" x14ac:dyDescent="0.35">
      <c r="A107" s="1" t="s">
        <v>167</v>
      </c>
      <c r="B107" s="2">
        <v>26335</v>
      </c>
      <c r="C107" s="2">
        <v>222749</v>
      </c>
      <c r="D107" s="5">
        <f>+VLOOKUP(A107,Sheet6!A:D,4,0)</f>
        <v>0.35727788279773154</v>
      </c>
      <c r="E107" s="5">
        <f t="shared" si="1"/>
        <v>9.4089130434782593</v>
      </c>
      <c r="F107" s="5" cm="1">
        <f t="array" ref="F107">_xlfn.IFS(
    AND(C107&gt;C$535,D107&lt;D$535),1,
    AND(C107&gt;C$535,D107&gt;D$535),2,
    AND(C107&lt;C$535,D107&lt;D$535),4,
    AND(C107&lt;C$535,D107&gt;D$535),3,
    TRUE,""
)</f>
        <v>2</v>
      </c>
    </row>
    <row r="108" spans="1:6" x14ac:dyDescent="0.35">
      <c r="A108" s="1" t="s">
        <v>230</v>
      </c>
      <c r="B108" s="2">
        <v>13355</v>
      </c>
      <c r="C108" s="2">
        <v>207266</v>
      </c>
      <c r="D108" s="5">
        <f>+VLOOKUP(A108,Sheet6!A:D,4,0)</f>
        <v>0.35483870967741937</v>
      </c>
      <c r="E108" s="5">
        <f t="shared" si="1"/>
        <v>4.7388709677419358</v>
      </c>
      <c r="F108" s="5" cm="1">
        <f t="array" ref="F108">_xlfn.IFS(
    AND(C108&gt;C$535,D108&lt;D$535),1,
    AND(C108&gt;C$535,D108&gt;D$535),2,
    AND(C108&lt;C$535,D108&lt;D$535),4,
    AND(C108&lt;C$535,D108&gt;D$535),3,
    TRUE,""
)</f>
        <v>3</v>
      </c>
    </row>
    <row r="109" spans="1:6" x14ac:dyDescent="0.35">
      <c r="A109" s="1" t="s">
        <v>387</v>
      </c>
      <c r="B109" s="2">
        <v>10022</v>
      </c>
      <c r="C109" s="2">
        <v>154256</v>
      </c>
      <c r="D109" s="5">
        <f>+VLOOKUP(A109,Sheet6!A:D,4,0)</f>
        <v>0.34666666666666668</v>
      </c>
      <c r="E109" s="5">
        <f t="shared" si="1"/>
        <v>3.4742933333333337</v>
      </c>
      <c r="F109" s="5" cm="1">
        <f t="array" ref="F109">_xlfn.IFS(
    AND(C109&gt;C$535,D109&lt;D$535),1,
    AND(C109&gt;C$535,D109&gt;D$535),2,
    AND(C109&lt;C$535,D109&lt;D$535),4,
    AND(C109&lt;C$535,D109&gt;D$535),3,
    TRUE,""
)</f>
        <v>3</v>
      </c>
    </row>
    <row r="110" spans="1:6" x14ac:dyDescent="0.35">
      <c r="A110" s="1" t="s">
        <v>222</v>
      </c>
      <c r="B110" s="2">
        <v>10417</v>
      </c>
      <c r="C110" s="1">
        <v>241.05</v>
      </c>
      <c r="D110" s="5">
        <f>+VLOOKUP(A110,Sheet6!A:D,4,0)</f>
        <v>0.34567901234567905</v>
      </c>
      <c r="E110" s="5">
        <f t="shared" si="1"/>
        <v>3.6009382716049387</v>
      </c>
      <c r="F110" s="5" cm="1">
        <f t="array" ref="F110">_xlfn.IFS(
    AND(C110&gt;C$535,D110&lt;D$535),1,
    AND(C110&gt;C$535,D110&gt;D$535),2,
    AND(C110&lt;C$535,D110&lt;D$535),4,
    AND(C110&lt;C$535,D110&gt;D$535),3,
    TRUE,""
)</f>
        <v>3</v>
      </c>
    </row>
    <row r="111" spans="1:6" x14ac:dyDescent="0.35">
      <c r="A111" s="1" t="s">
        <v>469</v>
      </c>
      <c r="B111" s="2">
        <v>48363</v>
      </c>
      <c r="C111" s="2">
        <v>114014</v>
      </c>
      <c r="D111" s="5">
        <f>+VLOOKUP(A111,Sheet6!A:D,4,0)</f>
        <v>0.34519303557910669</v>
      </c>
      <c r="E111" s="5">
        <f t="shared" si="1"/>
        <v>16.694570779712336</v>
      </c>
      <c r="F111" s="5" cm="1">
        <f t="array" ref="F111">_xlfn.IFS(
    AND(C111&gt;C$535,D111&lt;D$535),1,
    AND(C111&gt;C$535,D111&gt;D$535),2,
    AND(C111&lt;C$535,D111&lt;D$535),4,
    AND(C111&lt;C$535,D111&gt;D$535),3,
    TRUE,""
)</f>
        <v>3</v>
      </c>
    </row>
    <row r="112" spans="1:6" x14ac:dyDescent="0.35">
      <c r="A112" s="1" t="s">
        <v>114</v>
      </c>
      <c r="B112" s="2">
        <v>7364</v>
      </c>
      <c r="C112" s="2">
        <v>294666</v>
      </c>
      <c r="D112" s="5">
        <f>+VLOOKUP(A112,Sheet6!A:D,4,0)</f>
        <v>0.34375</v>
      </c>
      <c r="E112" s="5">
        <f t="shared" si="1"/>
        <v>2.5313750000000002</v>
      </c>
      <c r="F112" s="5" cm="1">
        <f t="array" ref="F112">_xlfn.IFS(
    AND(C112&gt;C$535,D112&lt;D$535),1,
    AND(C112&gt;C$535,D112&gt;D$535),2,
    AND(C112&lt;C$535,D112&lt;D$535),4,
    AND(C112&lt;C$535,D112&gt;D$535),3,
    TRUE,""
)</f>
        <v>2</v>
      </c>
    </row>
    <row r="113" spans="1:6" x14ac:dyDescent="0.35">
      <c r="A113" s="1" t="s">
        <v>432</v>
      </c>
      <c r="B113" s="1">
        <v>2.8</v>
      </c>
      <c r="C113" s="2">
        <v>161433</v>
      </c>
      <c r="D113" s="5">
        <f>+VLOOKUP(A113,Sheet6!A:D,4,0)</f>
        <v>0.34177215189873417</v>
      </c>
      <c r="E113" s="5">
        <f t="shared" si="1"/>
        <v>9.5696202531645553E-4</v>
      </c>
      <c r="F113" s="5" cm="1">
        <f t="array" ref="F113">_xlfn.IFS(
    AND(C113&gt;C$535,D113&lt;D$535),1,
    AND(C113&gt;C$535,D113&gt;D$535),2,
    AND(C113&lt;C$535,D113&lt;D$535),4,
    AND(C113&lt;C$535,D113&gt;D$535),3,
    TRUE,""
)</f>
        <v>3</v>
      </c>
    </row>
    <row r="114" spans="1:6" x14ac:dyDescent="0.35">
      <c r="A114" s="1" t="s">
        <v>355</v>
      </c>
      <c r="B114" s="2">
        <v>13263</v>
      </c>
      <c r="C114" s="2">
        <v>256197</v>
      </c>
      <c r="D114" s="5">
        <f>+VLOOKUP(A114,Sheet6!A:D,4,0)</f>
        <v>0.34113712374581939</v>
      </c>
      <c r="E114" s="5">
        <f t="shared" si="1"/>
        <v>4.5245016722408025</v>
      </c>
      <c r="F114" s="5" cm="1">
        <f t="array" ref="F114">_xlfn.IFS(
    AND(C114&gt;C$535,D114&lt;D$535),1,
    AND(C114&gt;C$535,D114&gt;D$535),2,
    AND(C114&lt;C$535,D114&lt;D$535),4,
    AND(C114&lt;C$535,D114&gt;D$535),3,
    TRUE,""
)</f>
        <v>2</v>
      </c>
    </row>
    <row r="115" spans="1:6" x14ac:dyDescent="0.35">
      <c r="A115" s="1" t="s">
        <v>342</v>
      </c>
      <c r="B115" s="1">
        <v>5.27</v>
      </c>
      <c r="C115" s="2">
        <v>206075</v>
      </c>
      <c r="D115" s="5">
        <f>+VLOOKUP(A115,Sheet6!A:D,4,0)</f>
        <v>0.33673469387755106</v>
      </c>
      <c r="E115" s="5">
        <f t="shared" si="1"/>
        <v>1.774591836734694E-3</v>
      </c>
      <c r="F115" s="5" cm="1">
        <f t="array" ref="F115">_xlfn.IFS(
    AND(C115&gt;C$535,D115&lt;D$535),1,
    AND(C115&gt;C$535,D115&gt;D$535),2,
    AND(C115&lt;C$535,D115&lt;D$535),4,
    AND(C115&lt;C$535,D115&gt;D$535),3,
    TRUE,""
)</f>
        <v>3</v>
      </c>
    </row>
    <row r="116" spans="1:6" x14ac:dyDescent="0.35">
      <c r="A116" s="1" t="s">
        <v>66</v>
      </c>
      <c r="B116" s="2">
        <v>17804</v>
      </c>
      <c r="C116" s="2">
        <v>310321</v>
      </c>
      <c r="D116" s="5">
        <f>+VLOOKUP(A116,Sheet6!A:D,4,0)</f>
        <v>0.33670886075949369</v>
      </c>
      <c r="E116" s="5">
        <f t="shared" si="1"/>
        <v>5.9947645569620258</v>
      </c>
      <c r="F116" s="5" cm="1">
        <f t="array" ref="F116">_xlfn.IFS(
    AND(C116&gt;C$535,D116&lt;D$535),1,
    AND(C116&gt;C$535,D116&gt;D$535),2,
    AND(C116&lt;C$535,D116&lt;D$535),4,
    AND(C116&lt;C$535,D116&gt;D$535),3,
    TRUE,""
)</f>
        <v>2</v>
      </c>
    </row>
    <row r="117" spans="1:6" x14ac:dyDescent="0.35">
      <c r="A117" s="1" t="s">
        <v>406</v>
      </c>
      <c r="B117" s="1">
        <v>35.770000000000003</v>
      </c>
      <c r="C117" s="2">
        <v>302883</v>
      </c>
      <c r="D117" s="5">
        <f>+VLOOKUP(A117,Sheet6!A:D,4,0)</f>
        <v>0.3353437876960193</v>
      </c>
      <c r="E117" s="5">
        <f t="shared" si="1"/>
        <v>1.1995247285886612E-2</v>
      </c>
      <c r="F117" s="5" cm="1">
        <f t="array" ref="F117">_xlfn.IFS(
    AND(C117&gt;C$535,D117&lt;D$535),1,
    AND(C117&gt;C$535,D117&gt;D$535),2,
    AND(C117&lt;C$535,D117&lt;D$535),4,
    AND(C117&lt;C$535,D117&gt;D$535),3,
    TRUE,""
)</f>
        <v>2</v>
      </c>
    </row>
    <row r="118" spans="1:6" x14ac:dyDescent="0.35">
      <c r="A118" s="1" t="s">
        <v>460</v>
      </c>
      <c r="B118" s="2">
        <v>43779</v>
      </c>
      <c r="C118" s="2">
        <v>195735</v>
      </c>
      <c r="D118" s="5">
        <f>+VLOOKUP(A118,Sheet6!A:D,4,0)</f>
        <v>0.33474218089602703</v>
      </c>
      <c r="E118" s="5">
        <f t="shared" si="1"/>
        <v>14.654677937447168</v>
      </c>
      <c r="F118" s="5" cm="1">
        <f t="array" ref="F118">_xlfn.IFS(
    AND(C118&gt;C$535,D118&lt;D$535),1,
    AND(C118&gt;C$535,D118&gt;D$535),2,
    AND(C118&lt;C$535,D118&lt;D$535),4,
    AND(C118&lt;C$535,D118&gt;D$535),3,
    TRUE,""
)</f>
        <v>3</v>
      </c>
    </row>
    <row r="119" spans="1:6" x14ac:dyDescent="0.35">
      <c r="A119" s="1" t="s">
        <v>313</v>
      </c>
      <c r="B119" s="2">
        <v>45185</v>
      </c>
      <c r="C119" s="2">
        <v>215381</v>
      </c>
      <c r="D119" s="5">
        <f>+VLOOKUP(A119,Sheet6!A:D,4,0)</f>
        <v>0.33423913043478265</v>
      </c>
      <c r="E119" s="5">
        <f t="shared" si="1"/>
        <v>15.102595108695654</v>
      </c>
      <c r="F119" s="5" cm="1">
        <f t="array" ref="F119">_xlfn.IFS(
    AND(C119&gt;C$535,D119&lt;D$535),1,
    AND(C119&gt;C$535,D119&gt;D$535),2,
    AND(C119&lt;C$535,D119&lt;D$535),4,
    AND(C119&lt;C$535,D119&gt;D$535),3,
    TRUE,""
)</f>
        <v>2</v>
      </c>
    </row>
    <row r="120" spans="1:6" x14ac:dyDescent="0.35">
      <c r="A120" s="1" t="s">
        <v>251</v>
      </c>
      <c r="B120" s="2">
        <v>2684</v>
      </c>
      <c r="C120" s="2">
        <v>167281</v>
      </c>
      <c r="D120" s="5">
        <f>+VLOOKUP(A120,Sheet6!A:D,4,0)</f>
        <v>0.33333333333333337</v>
      </c>
      <c r="E120" s="5">
        <f t="shared" si="1"/>
        <v>0.89466666666666672</v>
      </c>
      <c r="F120" s="5" cm="1">
        <f t="array" ref="F120">_xlfn.IFS(
    AND(C120&gt;C$535,D120&lt;D$535),1,
    AND(C120&gt;C$535,D120&gt;D$535),2,
    AND(C120&lt;C$535,D120&lt;D$535),4,
    AND(C120&lt;C$535,D120&gt;D$535),3,
    TRUE,""
)</f>
        <v>3</v>
      </c>
    </row>
    <row r="121" spans="1:6" x14ac:dyDescent="0.35">
      <c r="A121" s="1" t="s">
        <v>429</v>
      </c>
      <c r="B121" s="2">
        <v>7073</v>
      </c>
      <c r="C121" s="2">
        <v>166126</v>
      </c>
      <c r="D121" s="5">
        <f>+VLOOKUP(A121,Sheet6!A:D,4,0)</f>
        <v>0.33333333333333331</v>
      </c>
      <c r="E121" s="5">
        <f t="shared" si="1"/>
        <v>2.3576666666666664</v>
      </c>
      <c r="F121" s="5" cm="1">
        <f t="array" ref="F121">_xlfn.IFS(
    AND(C121&gt;C$535,D121&lt;D$535),1,
    AND(C121&gt;C$535,D121&gt;D$535),2,
    AND(C121&lt;C$535,D121&lt;D$535),4,
    AND(C121&lt;C$535,D121&gt;D$535),3,
    TRUE,""
)</f>
        <v>3</v>
      </c>
    </row>
    <row r="122" spans="1:6" x14ac:dyDescent="0.35">
      <c r="A122" s="1" t="s">
        <v>315</v>
      </c>
      <c r="B122" s="2">
        <v>56698</v>
      </c>
      <c r="C122" s="2">
        <v>185562</v>
      </c>
      <c r="D122" s="5">
        <f>+VLOOKUP(A122,Sheet6!A:D,4,0)</f>
        <v>0.33231240428790199</v>
      </c>
      <c r="E122" s="5">
        <f t="shared" si="1"/>
        <v>18.841448698315467</v>
      </c>
      <c r="F122" s="5" cm="1">
        <f t="array" ref="F122">_xlfn.IFS(
    AND(C122&gt;C$535,D122&lt;D$535),1,
    AND(C122&gt;C$535,D122&gt;D$535),2,
    AND(C122&lt;C$535,D122&lt;D$535),4,
    AND(C122&lt;C$535,D122&gt;D$535),3,
    TRUE,""
)</f>
        <v>3</v>
      </c>
    </row>
    <row r="123" spans="1:6" x14ac:dyDescent="0.35">
      <c r="A123" s="1" t="s">
        <v>311</v>
      </c>
      <c r="B123" s="2">
        <v>48961</v>
      </c>
      <c r="C123" s="1">
        <v>305.02</v>
      </c>
      <c r="D123" s="5">
        <f>+VLOOKUP(A123,Sheet6!A:D,4,0)</f>
        <v>0.33204633204633205</v>
      </c>
      <c r="E123" s="5">
        <f t="shared" si="1"/>
        <v>16.257320463320465</v>
      </c>
      <c r="F123" s="5" cm="1">
        <f t="array" ref="F123">_xlfn.IFS(
    AND(C123&gt;C$535,D123&lt;D$535),1,
    AND(C123&gt;C$535,D123&gt;D$535),2,
    AND(C123&lt;C$535,D123&lt;D$535),4,
    AND(C123&lt;C$535,D123&gt;D$535),3,
    TRUE,""
)</f>
        <v>3</v>
      </c>
    </row>
    <row r="124" spans="1:6" x14ac:dyDescent="0.35">
      <c r="A124" s="1" t="s">
        <v>483</v>
      </c>
      <c r="B124" s="2">
        <v>40236</v>
      </c>
      <c r="C124" s="2">
        <v>251965</v>
      </c>
      <c r="D124" s="5">
        <f>+VLOOKUP(A124,Sheet6!A:D,4,0)</f>
        <v>0.33116883116883111</v>
      </c>
      <c r="E124" s="5">
        <f t="shared" si="1"/>
        <v>13.324909090909088</v>
      </c>
      <c r="F124" s="5" cm="1">
        <f t="array" ref="F124">_xlfn.IFS(
    AND(C124&gt;C$535,D124&lt;D$535),1,
    AND(C124&gt;C$535,D124&gt;D$535),2,
    AND(C124&lt;C$535,D124&lt;D$535),4,
    AND(C124&lt;C$535,D124&gt;D$535),3,
    TRUE,""
)</f>
        <v>2</v>
      </c>
    </row>
    <row r="125" spans="1:6" x14ac:dyDescent="0.35">
      <c r="A125" s="1" t="s">
        <v>356</v>
      </c>
      <c r="B125" s="2">
        <v>33067</v>
      </c>
      <c r="C125" s="2">
        <v>257931</v>
      </c>
      <c r="D125" s="5">
        <f>+VLOOKUP(A125,Sheet6!A:D,4,0)</f>
        <v>0.33053221288515405</v>
      </c>
      <c r="E125" s="5">
        <f t="shared" si="1"/>
        <v>10.92970868347339</v>
      </c>
      <c r="F125" s="5" cm="1">
        <f t="array" ref="F125">_xlfn.IFS(
    AND(C125&gt;C$535,D125&lt;D$535),1,
    AND(C125&gt;C$535,D125&gt;D$535),2,
    AND(C125&lt;C$535,D125&lt;D$535),4,
    AND(C125&lt;C$535,D125&gt;D$535),3,
    TRUE,""
)</f>
        <v>2</v>
      </c>
    </row>
    <row r="126" spans="1:6" x14ac:dyDescent="0.35">
      <c r="A126" s="1" t="s">
        <v>374</v>
      </c>
      <c r="B126" s="2">
        <v>2896</v>
      </c>
      <c r="C126" s="2">
        <v>123631</v>
      </c>
      <c r="D126" s="5">
        <f>+VLOOKUP(A126,Sheet6!A:D,4,0)</f>
        <v>0.32835820895522388</v>
      </c>
      <c r="E126" s="5">
        <f t="shared" si="1"/>
        <v>0.95092537313432846</v>
      </c>
      <c r="F126" s="5" cm="1">
        <f t="array" ref="F126">_xlfn.IFS(
    AND(C126&gt;C$535,D126&lt;D$535),1,
    AND(C126&gt;C$535,D126&gt;D$535),2,
    AND(C126&lt;C$535,D126&lt;D$535),4,
    AND(C126&lt;C$535,D126&gt;D$535),3,
    TRUE,""
)</f>
        <v>3</v>
      </c>
    </row>
    <row r="127" spans="1:6" x14ac:dyDescent="0.35">
      <c r="A127" s="1" t="s">
        <v>93</v>
      </c>
      <c r="B127" s="2">
        <v>32127</v>
      </c>
      <c r="C127" s="2">
        <v>281504</v>
      </c>
      <c r="D127" s="5">
        <f>+VLOOKUP(A127,Sheet6!A:D,4,0)</f>
        <v>0.3282571912013536</v>
      </c>
      <c r="E127" s="5">
        <f t="shared" si="1"/>
        <v>10.545918781725888</v>
      </c>
      <c r="F127" s="5" cm="1">
        <f t="array" ref="F127">_xlfn.IFS(
    AND(C127&gt;C$535,D127&lt;D$535),1,
    AND(C127&gt;C$535,D127&gt;D$535),2,
    AND(C127&lt;C$535,D127&lt;D$535),4,
    AND(C127&lt;C$535,D127&gt;D$535),3,
    TRUE,""
)</f>
        <v>2</v>
      </c>
    </row>
    <row r="128" spans="1:6" x14ac:dyDescent="0.35">
      <c r="A128" s="1" t="s">
        <v>205</v>
      </c>
      <c r="B128" s="2">
        <v>57406</v>
      </c>
      <c r="C128" s="2">
        <v>349653</v>
      </c>
      <c r="D128" s="5">
        <f>+VLOOKUP(A128,Sheet6!A:D,4,0)</f>
        <v>0.32615384615384618</v>
      </c>
      <c r="E128" s="5">
        <f t="shared" si="1"/>
        <v>18.723187692307693</v>
      </c>
      <c r="F128" s="5" cm="1">
        <f t="array" ref="F128">_xlfn.IFS(
    AND(C128&gt;C$535,D128&lt;D$535),1,
    AND(C128&gt;C$535,D128&gt;D$535),2,
    AND(C128&lt;C$535,D128&lt;D$535),4,
    AND(C128&lt;C$535,D128&gt;D$535),3,
    TRUE,""
)</f>
        <v>2</v>
      </c>
    </row>
    <row r="129" spans="1:6" x14ac:dyDescent="0.35">
      <c r="A129" s="1" t="s">
        <v>404</v>
      </c>
      <c r="B129" s="2">
        <v>9933</v>
      </c>
      <c r="C129" s="2">
        <v>130474</v>
      </c>
      <c r="D129" s="5">
        <f>+VLOOKUP(A129,Sheet6!A:D,4,0)</f>
        <v>0.32577903682719545</v>
      </c>
      <c r="E129" s="5">
        <f t="shared" si="1"/>
        <v>3.2359631728045324</v>
      </c>
      <c r="F129" s="5" cm="1">
        <f t="array" ref="F129">_xlfn.IFS(
    AND(C129&gt;C$535,D129&lt;D$535),1,
    AND(C129&gt;C$535,D129&gt;D$535),2,
    AND(C129&lt;C$535,D129&lt;D$535),4,
    AND(C129&lt;C$535,D129&gt;D$535),3,
    TRUE,""
)</f>
        <v>3</v>
      </c>
    </row>
    <row r="130" spans="1:6" x14ac:dyDescent="0.35">
      <c r="A130" s="1" t="s">
        <v>497</v>
      </c>
      <c r="B130" s="2">
        <v>23051</v>
      </c>
      <c r="C130" s="2">
        <v>220512</v>
      </c>
      <c r="D130" s="5">
        <f>+VLOOKUP(A130,Sheet6!A:D,4,0)</f>
        <v>0.32558139534883718</v>
      </c>
      <c r="E130" s="5">
        <f t="shared" si="1"/>
        <v>7.5049767441860462</v>
      </c>
      <c r="F130" s="5" cm="1">
        <f t="array" ref="F130">_xlfn.IFS(
    AND(C130&gt;C$535,D130&lt;D$535),1,
    AND(C130&gt;C$535,D130&gt;D$535),2,
    AND(C130&lt;C$535,D130&lt;D$535),4,
    AND(C130&lt;C$535,D130&gt;D$535),3,
    TRUE,""
)</f>
        <v>2</v>
      </c>
    </row>
    <row r="131" spans="1:6" x14ac:dyDescent="0.35">
      <c r="A131" s="1" t="s">
        <v>208</v>
      </c>
      <c r="B131" s="2">
        <v>2728</v>
      </c>
      <c r="C131" s="1">
        <v>120.22</v>
      </c>
      <c r="D131" s="5">
        <f>+VLOOKUP(A131,Sheet6!A:D,4,0)</f>
        <v>0.32467532467532467</v>
      </c>
      <c r="E131" s="5">
        <f t="shared" si="1"/>
        <v>0.88571428571428568</v>
      </c>
      <c r="F131" s="5" cm="1">
        <f t="array" ref="F131">_xlfn.IFS(
    AND(C131&gt;C$535,D131&lt;D$535),1,
    AND(C131&gt;C$535,D131&gt;D$535),2,
    AND(C131&lt;C$535,D131&lt;D$535),4,
    AND(C131&lt;C$535,D131&gt;D$535),3,
    TRUE,""
)</f>
        <v>3</v>
      </c>
    </row>
    <row r="132" spans="1:6" x14ac:dyDescent="0.35">
      <c r="A132" s="1" t="s">
        <v>229</v>
      </c>
      <c r="B132" s="2">
        <v>57394</v>
      </c>
      <c r="C132" s="2">
        <v>356097</v>
      </c>
      <c r="D132" s="5">
        <f>+VLOOKUP(A132,Sheet6!A:D,4,0)</f>
        <v>0.32284040995607616</v>
      </c>
      <c r="E132" s="5">
        <f t="shared" ref="E132:E195" si="2">(B132*D132)/1000</f>
        <v>18.529102489019035</v>
      </c>
      <c r="F132" s="5" cm="1">
        <f t="array" ref="F132">_xlfn.IFS(
    AND(C132&gt;C$535,D132&lt;D$535),1,
    AND(C132&gt;C$535,D132&gt;D$535),2,
    AND(C132&lt;C$535,D132&lt;D$535),4,
    AND(C132&lt;C$535,D132&gt;D$535),3,
    TRUE,""
)</f>
        <v>2</v>
      </c>
    </row>
    <row r="133" spans="1:6" x14ac:dyDescent="0.35">
      <c r="A133" s="1" t="s">
        <v>498</v>
      </c>
      <c r="B133" s="1">
        <v>10</v>
      </c>
      <c r="C133" s="2">
        <v>150798</v>
      </c>
      <c r="D133" s="5">
        <f>+VLOOKUP(A133,Sheet6!A:D,4,0)</f>
        <v>0.32051282051282048</v>
      </c>
      <c r="E133" s="5">
        <f t="shared" si="2"/>
        <v>3.205128205128205E-3</v>
      </c>
      <c r="F133" s="5" cm="1">
        <f t="array" ref="F133">_xlfn.IFS(
    AND(C133&gt;C$535,D133&lt;D$535),1,
    AND(C133&gt;C$535,D133&gt;D$535),2,
    AND(C133&lt;C$535,D133&lt;D$535),4,
    AND(C133&lt;C$535,D133&gt;D$535),3,
    TRUE,""
)</f>
        <v>3</v>
      </c>
    </row>
    <row r="134" spans="1:6" x14ac:dyDescent="0.35">
      <c r="A134" s="1" t="s">
        <v>191</v>
      </c>
      <c r="B134" s="2">
        <v>7061</v>
      </c>
      <c r="C134" s="2">
        <v>127326</v>
      </c>
      <c r="D134" s="5">
        <f>+VLOOKUP(A134,Sheet6!A:D,4,0)</f>
        <v>0.32038834951456313</v>
      </c>
      <c r="E134" s="5">
        <f t="shared" si="2"/>
        <v>2.2622621359223305</v>
      </c>
      <c r="F134" s="5" cm="1">
        <f t="array" ref="F134">_xlfn.IFS(
    AND(C134&gt;C$535,D134&lt;D$535),1,
    AND(C134&gt;C$535,D134&gt;D$535),2,
    AND(C134&lt;C$535,D134&lt;D$535),4,
    AND(C134&lt;C$535,D134&gt;D$535),3,
    TRUE,""
)</f>
        <v>3</v>
      </c>
    </row>
    <row r="135" spans="1:6" x14ac:dyDescent="0.35">
      <c r="A135" s="1" t="s">
        <v>475</v>
      </c>
      <c r="B135" s="2">
        <v>3514</v>
      </c>
      <c r="C135" s="2">
        <v>156812</v>
      </c>
      <c r="D135" s="5">
        <f>+VLOOKUP(A135,Sheet6!A:D,4,0)</f>
        <v>0.3202614379084967</v>
      </c>
      <c r="E135" s="5">
        <f t="shared" si="2"/>
        <v>1.1253986928104576</v>
      </c>
      <c r="F135" s="5" cm="1">
        <f t="array" ref="F135">_xlfn.IFS(
    AND(C135&gt;C$535,D135&lt;D$535),1,
    AND(C135&gt;C$535,D135&gt;D$535),2,
    AND(C135&lt;C$535,D135&lt;D$535),4,
    AND(C135&lt;C$535,D135&gt;D$535),3,
    TRUE,""
)</f>
        <v>3</v>
      </c>
    </row>
    <row r="136" spans="1:6" x14ac:dyDescent="0.35">
      <c r="A136" s="1" t="s">
        <v>126</v>
      </c>
      <c r="B136" s="2">
        <v>23234</v>
      </c>
      <c r="C136" s="2">
        <v>256266</v>
      </c>
      <c r="D136" s="5">
        <f>+VLOOKUP(A136,Sheet6!A:D,4,0)</f>
        <v>0.31967213114754101</v>
      </c>
      <c r="E136" s="5">
        <f t="shared" si="2"/>
        <v>7.4272622950819676</v>
      </c>
      <c r="F136" s="5" cm="1">
        <f t="array" ref="F136">_xlfn.IFS(
    AND(C136&gt;C$535,D136&lt;D$535),1,
    AND(C136&gt;C$535,D136&gt;D$535),2,
    AND(C136&lt;C$535,D136&lt;D$535),4,
    AND(C136&lt;C$535,D136&gt;D$535),3,
    TRUE,""
)</f>
        <v>2</v>
      </c>
    </row>
    <row r="137" spans="1:6" x14ac:dyDescent="0.35">
      <c r="A137" s="1" t="s">
        <v>261</v>
      </c>
      <c r="B137" s="2">
        <v>5181</v>
      </c>
      <c r="C137" s="2">
        <v>102683</v>
      </c>
      <c r="D137" s="5">
        <f>+VLOOKUP(A137,Sheet6!A:D,4,0)</f>
        <v>0.31874999999999998</v>
      </c>
      <c r="E137" s="5">
        <f t="shared" si="2"/>
        <v>1.6514437499999999</v>
      </c>
      <c r="F137" s="5" cm="1">
        <f t="array" ref="F137">_xlfn.IFS(
    AND(C137&gt;C$535,D137&lt;D$535),1,
    AND(C137&gt;C$535,D137&gt;D$535),2,
    AND(C137&lt;C$535,D137&lt;D$535),4,
    AND(C137&lt;C$535,D137&gt;D$535),3,
    TRUE,""
)</f>
        <v>3</v>
      </c>
    </row>
    <row r="138" spans="1:6" x14ac:dyDescent="0.35">
      <c r="A138" s="1" t="s">
        <v>7</v>
      </c>
      <c r="B138" s="2">
        <v>7738</v>
      </c>
      <c r="C138" s="2">
        <v>321274</v>
      </c>
      <c r="D138" s="5">
        <f>+VLOOKUP(A138,Sheet6!A:D,4,0)</f>
        <v>0.31818181818181823</v>
      </c>
      <c r="E138" s="5">
        <f t="shared" si="2"/>
        <v>2.4620909090909096</v>
      </c>
      <c r="F138" s="5" cm="1">
        <f t="array" ref="F138">_xlfn.IFS(
    AND(C138&gt;C$535,D138&lt;D$535),1,
    AND(C138&gt;C$535,D138&gt;D$535),2,
    AND(C138&lt;C$535,D138&lt;D$535),4,
    AND(C138&lt;C$535,D138&gt;D$535),3,
    TRUE,""
)</f>
        <v>2</v>
      </c>
    </row>
    <row r="139" spans="1:6" x14ac:dyDescent="0.35">
      <c r="A139" s="1" t="s">
        <v>35</v>
      </c>
      <c r="B139" s="2">
        <v>7662</v>
      </c>
      <c r="C139" s="2">
        <v>302536</v>
      </c>
      <c r="D139" s="5">
        <f>+VLOOKUP(A139,Sheet6!A:D,4,0)</f>
        <v>0.3174603174603175</v>
      </c>
      <c r="E139" s="5">
        <f t="shared" si="2"/>
        <v>2.4323809523809525</v>
      </c>
      <c r="F139" s="5" cm="1">
        <f t="array" ref="F139">_xlfn.IFS(
    AND(C139&gt;C$535,D139&lt;D$535),1,
    AND(C139&gt;C$535,D139&gt;D$535),2,
    AND(C139&lt;C$535,D139&lt;D$535),4,
    AND(C139&lt;C$535,D139&gt;D$535),3,
    TRUE,""
)</f>
        <v>2</v>
      </c>
    </row>
    <row r="140" spans="1:6" x14ac:dyDescent="0.35">
      <c r="A140" s="1" t="s">
        <v>301</v>
      </c>
      <c r="B140" s="2">
        <v>48973</v>
      </c>
      <c r="C140" s="2">
        <v>267288</v>
      </c>
      <c r="D140" s="5">
        <f>+VLOOKUP(A140,Sheet6!A:D,4,0)</f>
        <v>0.31541218637992835</v>
      </c>
      <c r="E140" s="5">
        <f t="shared" si="2"/>
        <v>15.446681003584231</v>
      </c>
      <c r="F140" s="5" cm="1">
        <f t="array" ref="F140">_xlfn.IFS(
    AND(C140&gt;C$535,D140&lt;D$535),1,
    AND(C140&gt;C$535,D140&gt;D$535),2,
    AND(C140&lt;C$535,D140&lt;D$535),4,
    AND(C140&lt;C$535,D140&gt;D$535),3,
    TRUE,""
)</f>
        <v>2</v>
      </c>
    </row>
    <row r="141" spans="1:6" x14ac:dyDescent="0.35">
      <c r="A141" s="1" t="s">
        <v>367</v>
      </c>
      <c r="B141" s="2">
        <v>10821</v>
      </c>
      <c r="C141" s="2">
        <v>225851</v>
      </c>
      <c r="D141" s="5">
        <f>+VLOOKUP(A141,Sheet6!A:D,4,0)</f>
        <v>0.31496062992125984</v>
      </c>
      <c r="E141" s="5">
        <f t="shared" si="2"/>
        <v>3.4081889763779527</v>
      </c>
      <c r="F141" s="5" cm="1">
        <f t="array" ref="F141">_xlfn.IFS(
    AND(C141&gt;C$535,D141&lt;D$535),1,
    AND(C141&gt;C$535,D141&gt;D$535),2,
    AND(C141&lt;C$535,D141&lt;D$535),4,
    AND(C141&lt;C$535,D141&gt;D$535),3,
    TRUE,""
)</f>
        <v>2</v>
      </c>
    </row>
    <row r="142" spans="1:6" x14ac:dyDescent="0.35">
      <c r="A142" s="1" t="s">
        <v>100</v>
      </c>
      <c r="B142" s="2">
        <v>14027</v>
      </c>
      <c r="C142" s="2">
        <v>195189</v>
      </c>
      <c r="D142" s="5">
        <f>+VLOOKUP(A142,Sheet6!A:D,4,0)</f>
        <v>0.3129973474801061</v>
      </c>
      <c r="E142" s="5">
        <f t="shared" si="2"/>
        <v>4.3904137931034484</v>
      </c>
      <c r="F142" s="5" cm="1">
        <f t="array" ref="F142">_xlfn.IFS(
    AND(C142&gt;C$535,D142&lt;D$535),1,
    AND(C142&gt;C$535,D142&gt;D$535),2,
    AND(C142&lt;C$535,D142&lt;D$535),4,
    AND(C142&lt;C$535,D142&gt;D$535),3,
    TRUE,""
)</f>
        <v>3</v>
      </c>
    </row>
    <row r="143" spans="1:6" x14ac:dyDescent="0.35">
      <c r="A143" s="1" t="s">
        <v>535</v>
      </c>
      <c r="B143" s="1">
        <v>59.48</v>
      </c>
      <c r="C143" s="1">
        <v>326.41000000000003</v>
      </c>
      <c r="D143" s="5">
        <f>+VLOOKUP(A143,Sheet6!A:D,4,0)</f>
        <v>0.31266375545851532</v>
      </c>
      <c r="E143" s="5">
        <f t="shared" si="2"/>
        <v>1.8597240174672489E-2</v>
      </c>
      <c r="F143" s="5" cm="1">
        <f t="array" ref="F143">_xlfn.IFS(
    AND(C143&gt;C$535,D143&lt;D$535),1,
    AND(C143&gt;C$535,D143&gt;D$535),2,
    AND(C143&lt;C$535,D143&lt;D$535),4,
    AND(C143&lt;C$535,D143&gt;D$535),3,
    TRUE,""
)</f>
        <v>3</v>
      </c>
    </row>
    <row r="144" spans="1:6" x14ac:dyDescent="0.35">
      <c r="A144" s="1" t="s">
        <v>321</v>
      </c>
      <c r="B144" s="2">
        <v>60848</v>
      </c>
      <c r="C144" s="2">
        <v>259777</v>
      </c>
      <c r="D144" s="5">
        <f>+VLOOKUP(A144,Sheet6!A:D,4,0)</f>
        <v>0.31253678634490878</v>
      </c>
      <c r="E144" s="5">
        <f t="shared" si="2"/>
        <v>19.017238375515007</v>
      </c>
      <c r="F144" s="5" cm="1">
        <f t="array" ref="F144">_xlfn.IFS(
    AND(C144&gt;C$535,D144&lt;D$535),1,
    AND(C144&gt;C$535,D144&gt;D$535),2,
    AND(C144&lt;C$535,D144&lt;D$535),4,
    AND(C144&lt;C$535,D144&gt;D$535),3,
    TRUE,""
)</f>
        <v>2</v>
      </c>
    </row>
    <row r="145" spans="1:6" x14ac:dyDescent="0.35">
      <c r="A145" s="1" t="s">
        <v>61</v>
      </c>
      <c r="B145" s="2">
        <v>22226</v>
      </c>
      <c r="C145" s="2">
        <v>178619</v>
      </c>
      <c r="D145" s="5">
        <f>+VLOOKUP(A145,Sheet6!A:D,4,0)</f>
        <v>0.31153846153846154</v>
      </c>
      <c r="E145" s="5">
        <f t="shared" si="2"/>
        <v>6.9242538461538459</v>
      </c>
      <c r="F145" s="5" cm="1">
        <f t="array" ref="F145">_xlfn.IFS(
    AND(C145&gt;C$535,D145&lt;D$535),1,
    AND(C145&gt;C$535,D145&gt;D$535),2,
    AND(C145&lt;C$535,D145&lt;D$535),4,
    AND(C145&lt;C$535,D145&gt;D$535),3,
    TRUE,""
)</f>
        <v>3</v>
      </c>
    </row>
    <row r="146" spans="1:6" x14ac:dyDescent="0.35">
      <c r="A146" s="1" t="s">
        <v>532</v>
      </c>
      <c r="B146" s="2">
        <v>69756</v>
      </c>
      <c r="C146" s="2">
        <v>198362</v>
      </c>
      <c r="D146" s="5">
        <f>+VLOOKUP(A146,Sheet6!A:D,4,0)</f>
        <v>0.31070889894419301</v>
      </c>
      <c r="E146" s="5">
        <f t="shared" si="2"/>
        <v>21.673809954751128</v>
      </c>
      <c r="F146" s="5" cm="1">
        <f t="array" ref="F146">_xlfn.IFS(
    AND(C146&gt;C$535,D146&lt;D$535),1,
    AND(C146&gt;C$535,D146&gt;D$535),2,
    AND(C146&lt;C$535,D146&lt;D$535),4,
    AND(C146&lt;C$535,D146&gt;D$535),3,
    TRUE,""
)</f>
        <v>3</v>
      </c>
    </row>
    <row r="147" spans="1:6" x14ac:dyDescent="0.35">
      <c r="A147" s="1" t="s">
        <v>287</v>
      </c>
      <c r="B147" s="2">
        <v>5241</v>
      </c>
      <c r="C147" s="1">
        <v>221.32</v>
      </c>
      <c r="D147" s="5">
        <f>+VLOOKUP(A147,Sheet6!A:D,4,0)</f>
        <v>0.30810810810810807</v>
      </c>
      <c r="E147" s="5">
        <f t="shared" si="2"/>
        <v>1.6147945945945943</v>
      </c>
      <c r="F147" s="5" cm="1">
        <f t="array" ref="F147">_xlfn.IFS(
    AND(C147&gt;C$535,D147&lt;D$535),1,
    AND(C147&gt;C$535,D147&gt;D$535),2,
    AND(C147&lt;C$535,D147&lt;D$535),4,
    AND(C147&lt;C$535,D147&gt;D$535),3,
    TRUE,""
)</f>
        <v>3</v>
      </c>
    </row>
    <row r="148" spans="1:6" x14ac:dyDescent="0.35">
      <c r="A148" s="1" t="s">
        <v>504</v>
      </c>
      <c r="B148" s="2">
        <v>9966</v>
      </c>
      <c r="C148" s="2">
        <v>239514</v>
      </c>
      <c r="D148" s="5">
        <f>+VLOOKUP(A148,Sheet6!A:D,4,0)</f>
        <v>0.30687830687830686</v>
      </c>
      <c r="E148" s="5">
        <f t="shared" si="2"/>
        <v>3.0583492063492064</v>
      </c>
      <c r="F148" s="5" cm="1">
        <f t="array" ref="F148">_xlfn.IFS(
    AND(C148&gt;C$535,D148&lt;D$535),1,
    AND(C148&gt;C$535,D148&gt;D$535),2,
    AND(C148&lt;C$535,D148&lt;D$535),4,
    AND(C148&lt;C$535,D148&gt;D$535),3,
    TRUE,""
)</f>
        <v>2</v>
      </c>
    </row>
    <row r="149" spans="1:6" x14ac:dyDescent="0.35">
      <c r="A149" s="1" t="s">
        <v>330</v>
      </c>
      <c r="B149" s="2">
        <v>7195</v>
      </c>
      <c r="C149" s="2">
        <v>186235</v>
      </c>
      <c r="D149" s="5">
        <f>+VLOOKUP(A149,Sheet6!A:D,4,0)</f>
        <v>0.30573248407643311</v>
      </c>
      <c r="E149" s="5">
        <f t="shared" si="2"/>
        <v>2.1997452229299359</v>
      </c>
      <c r="F149" s="5" cm="1">
        <f t="array" ref="F149">_xlfn.IFS(
    AND(C149&gt;C$535,D149&lt;D$535),1,
    AND(C149&gt;C$535,D149&gt;D$535),2,
    AND(C149&lt;C$535,D149&lt;D$535),4,
    AND(C149&lt;C$535,D149&gt;D$535),3,
    TRUE,""
)</f>
        <v>3</v>
      </c>
    </row>
    <row r="150" spans="1:6" x14ac:dyDescent="0.35">
      <c r="A150" s="1" t="s">
        <v>60</v>
      </c>
      <c r="B150" s="1">
        <v>19.14</v>
      </c>
      <c r="C150" s="2">
        <v>313427</v>
      </c>
      <c r="D150" s="5">
        <f>+VLOOKUP(A150,Sheet6!A:D,4,0)</f>
        <v>0.30535714285714288</v>
      </c>
      <c r="E150" s="5">
        <f t="shared" si="2"/>
        <v>5.8445357142857144E-3</v>
      </c>
      <c r="F150" s="5" cm="1">
        <f t="array" ref="F150">_xlfn.IFS(
    AND(C150&gt;C$535,D150&lt;D$535),1,
    AND(C150&gt;C$535,D150&gt;D$535),2,
    AND(C150&lt;C$535,D150&lt;D$535),4,
    AND(C150&lt;C$535,D150&gt;D$535),3,
    TRUE,""
)</f>
        <v>2</v>
      </c>
    </row>
    <row r="151" spans="1:6" x14ac:dyDescent="0.35">
      <c r="A151" s="1" t="s">
        <v>431</v>
      </c>
      <c r="B151" s="2">
        <v>57181</v>
      </c>
      <c r="C151" s="2">
        <v>212027</v>
      </c>
      <c r="D151" s="5">
        <f>+VLOOKUP(A151,Sheet6!A:D,4,0)</f>
        <v>0.30493915533285609</v>
      </c>
      <c r="E151" s="5">
        <f t="shared" si="2"/>
        <v>17.436725841088045</v>
      </c>
      <c r="F151" s="5" cm="1">
        <f t="array" ref="F151">_xlfn.IFS(
    AND(C151&gt;C$535,D151&lt;D$535),1,
    AND(C151&gt;C$535,D151&gt;D$535),2,
    AND(C151&lt;C$535,D151&lt;D$535),4,
    AND(C151&lt;C$535,D151&gt;D$535),3,
    TRUE,""
)</f>
        <v>2</v>
      </c>
    </row>
    <row r="152" spans="1:6" x14ac:dyDescent="0.35">
      <c r="A152" s="1" t="s">
        <v>524</v>
      </c>
      <c r="B152" s="2">
        <v>6964</v>
      </c>
      <c r="C152" s="2">
        <v>170588</v>
      </c>
      <c r="D152" s="5">
        <f>+VLOOKUP(A152,Sheet6!A:D,4,0)</f>
        <v>0.3048780487804878</v>
      </c>
      <c r="E152" s="5">
        <f t="shared" si="2"/>
        <v>2.123170731707317</v>
      </c>
      <c r="F152" s="5" cm="1">
        <f t="array" ref="F152">_xlfn.IFS(
    AND(C152&gt;C$535,D152&lt;D$535),1,
    AND(C152&gt;C$535,D152&gt;D$535),2,
    AND(C152&lt;C$535,D152&lt;D$535),4,
    AND(C152&lt;C$535,D152&gt;D$535),3,
    TRUE,""
)</f>
        <v>3</v>
      </c>
    </row>
    <row r="153" spans="1:6" x14ac:dyDescent="0.35">
      <c r="A153" s="1" t="s">
        <v>244</v>
      </c>
      <c r="B153" s="2">
        <v>75499</v>
      </c>
      <c r="C153" s="2">
        <v>274295</v>
      </c>
      <c r="D153" s="5">
        <f>+VLOOKUP(A153,Sheet6!A:D,4,0)</f>
        <v>0.30441478439425051</v>
      </c>
      <c r="E153" s="5">
        <f t="shared" si="2"/>
        <v>22.983011806981519</v>
      </c>
      <c r="F153" s="5" cm="1">
        <f t="array" ref="F153">_xlfn.IFS(
    AND(C153&gt;C$535,D153&lt;D$535),1,
    AND(C153&gt;C$535,D153&gt;D$535),2,
    AND(C153&lt;C$535,D153&lt;D$535),4,
    AND(C153&lt;C$535,D153&gt;D$535),3,
    TRUE,""
)</f>
        <v>2</v>
      </c>
    </row>
    <row r="154" spans="1:6" x14ac:dyDescent="0.35">
      <c r="A154" s="1" t="s">
        <v>513</v>
      </c>
      <c r="B154" s="2">
        <v>50547</v>
      </c>
      <c r="C154" s="2">
        <v>277584</v>
      </c>
      <c r="D154" s="5">
        <f>+VLOOKUP(A154,Sheet6!A:D,4,0)</f>
        <v>0.30428134556574921</v>
      </c>
      <c r="E154" s="5">
        <f t="shared" si="2"/>
        <v>15.380509174311925</v>
      </c>
      <c r="F154" s="5" cm="1">
        <f t="array" ref="F154">_xlfn.IFS(
    AND(C154&gt;C$535,D154&lt;D$535),1,
    AND(C154&gt;C$535,D154&gt;D$535),2,
    AND(C154&lt;C$535,D154&lt;D$535),4,
    AND(C154&lt;C$535,D154&gt;D$535),3,
    TRUE,""
)</f>
        <v>2</v>
      </c>
    </row>
    <row r="155" spans="1:6" x14ac:dyDescent="0.35">
      <c r="A155" s="1" t="s">
        <v>521</v>
      </c>
      <c r="B155" s="1">
        <v>72.900000000000006</v>
      </c>
      <c r="C155" s="2">
        <v>175679</v>
      </c>
      <c r="D155" s="5">
        <f>+VLOOKUP(A155,Sheet6!A:D,4,0)</f>
        <v>0.30389308541545612</v>
      </c>
      <c r="E155" s="5">
        <f t="shared" si="2"/>
        <v>2.2153805926786754E-2</v>
      </c>
      <c r="F155" s="5" cm="1">
        <f t="array" ref="F155">_xlfn.IFS(
    AND(C155&gt;C$535,D155&lt;D$535),1,
    AND(C155&gt;C$535,D155&gt;D$535),2,
    AND(C155&lt;C$535,D155&lt;D$535),4,
    AND(C155&lt;C$535,D155&gt;D$535),3,
    TRUE,""
)</f>
        <v>3</v>
      </c>
    </row>
    <row r="156" spans="1:6" x14ac:dyDescent="0.35">
      <c r="A156" s="1" t="s">
        <v>118</v>
      </c>
      <c r="B156" s="2">
        <v>2646</v>
      </c>
      <c r="C156" s="2">
        <v>179532</v>
      </c>
      <c r="D156" s="5">
        <f>+VLOOKUP(A156,Sheet6!A:D,4,0)</f>
        <v>0.30232558139534887</v>
      </c>
      <c r="E156" s="5">
        <f t="shared" si="2"/>
        <v>0.79995348837209312</v>
      </c>
      <c r="F156" s="5" cm="1">
        <f t="array" ref="F156">_xlfn.IFS(
    AND(C156&gt;C$535,D156&lt;D$535),1,
    AND(C156&gt;C$535,D156&gt;D$535),2,
    AND(C156&lt;C$535,D156&lt;D$535),4,
    AND(C156&lt;C$535,D156&gt;D$535),3,
    TRUE,""
)</f>
        <v>3</v>
      </c>
    </row>
    <row r="157" spans="1:6" x14ac:dyDescent="0.35">
      <c r="A157" s="1" t="s">
        <v>349</v>
      </c>
      <c r="B157" s="2">
        <v>42308</v>
      </c>
      <c r="C157" s="2">
        <v>302423</v>
      </c>
      <c r="D157" s="5">
        <f>+VLOOKUP(A157,Sheet6!A:D,4,0)</f>
        <v>0.30217391304347824</v>
      </c>
      <c r="E157" s="5">
        <f t="shared" si="2"/>
        <v>12.784373913043478</v>
      </c>
      <c r="F157" s="5" cm="1">
        <f t="array" ref="F157">_xlfn.IFS(
    AND(C157&gt;C$535,D157&lt;D$535),1,
    AND(C157&gt;C$535,D157&gt;D$535),2,
    AND(C157&lt;C$535,D157&lt;D$535),4,
    AND(C157&lt;C$535,D157&gt;D$535),3,
    TRUE,""
)</f>
        <v>2</v>
      </c>
    </row>
    <row r="158" spans="1:6" x14ac:dyDescent="0.35">
      <c r="A158" s="1" t="s">
        <v>405</v>
      </c>
      <c r="B158" s="2">
        <v>62637</v>
      </c>
      <c r="C158" s="1">
        <v>250.09</v>
      </c>
      <c r="D158" s="5">
        <f>+VLOOKUP(A158,Sheet6!A:D,4,0)</f>
        <v>0.30182529335071706</v>
      </c>
      <c r="E158" s="5">
        <f t="shared" si="2"/>
        <v>18.905430899608866</v>
      </c>
      <c r="F158" s="5" cm="1">
        <f t="array" ref="F158">_xlfn.IFS(
    AND(C158&gt;C$535,D158&lt;D$535),1,
    AND(C158&gt;C$535,D158&gt;D$535),2,
    AND(C158&lt;C$535,D158&lt;D$535),4,
    AND(C158&lt;C$535,D158&gt;D$535),3,
    TRUE,""
)</f>
        <v>3</v>
      </c>
    </row>
    <row r="159" spans="1:6" x14ac:dyDescent="0.35">
      <c r="A159" s="1" t="s">
        <v>124</v>
      </c>
      <c r="B159" s="2">
        <v>30405</v>
      </c>
      <c r="C159" s="2">
        <v>221902</v>
      </c>
      <c r="D159" s="5">
        <f>+VLOOKUP(A159,Sheet6!A:D,4,0)</f>
        <v>0.30154277699859749</v>
      </c>
      <c r="E159" s="5">
        <f t="shared" si="2"/>
        <v>9.1684081346423572</v>
      </c>
      <c r="F159" s="5" cm="1">
        <f t="array" ref="F159">_xlfn.IFS(
    AND(C159&gt;C$535,D159&lt;D$535),1,
    AND(C159&gt;C$535,D159&gt;D$535),2,
    AND(C159&lt;C$535,D159&lt;D$535),4,
    AND(C159&lt;C$535,D159&gt;D$535),3,
    TRUE,""
)</f>
        <v>2</v>
      </c>
    </row>
    <row r="160" spans="1:6" x14ac:dyDescent="0.35">
      <c r="A160" s="1" t="s">
        <v>488</v>
      </c>
      <c r="B160" s="2">
        <v>10275</v>
      </c>
      <c r="C160" s="2">
        <v>288376</v>
      </c>
      <c r="D160" s="5">
        <f>+VLOOKUP(A160,Sheet6!A:D,4,0)</f>
        <v>0.30063291139240506</v>
      </c>
      <c r="E160" s="5">
        <f t="shared" si="2"/>
        <v>3.0890031645569622</v>
      </c>
      <c r="F160" s="5" cm="1">
        <f t="array" ref="F160">_xlfn.IFS(
    AND(C160&gt;C$535,D160&lt;D$535),1,
    AND(C160&gt;C$535,D160&gt;D$535),2,
    AND(C160&lt;C$535,D160&lt;D$535),4,
    AND(C160&lt;C$535,D160&gt;D$535),3,
    TRUE,""
)</f>
        <v>2</v>
      </c>
    </row>
    <row r="161" spans="1:6" x14ac:dyDescent="0.35">
      <c r="A161" s="1" t="s">
        <v>273</v>
      </c>
      <c r="B161" s="2">
        <v>23823</v>
      </c>
      <c r="C161" s="2">
        <v>304121</v>
      </c>
      <c r="D161" s="5">
        <f>+VLOOKUP(A161,Sheet6!A:D,4,0)</f>
        <v>0.3</v>
      </c>
      <c r="E161" s="5">
        <f t="shared" si="2"/>
        <v>7.1468999999999996</v>
      </c>
      <c r="F161" s="5" cm="1">
        <f t="array" ref="F161">_xlfn.IFS(
    AND(C161&gt;C$535,D161&lt;D$535),1,
    AND(C161&gt;C$535,D161&gt;D$535),2,
    AND(C161&lt;C$535,D161&lt;D$535),4,
    AND(C161&lt;C$535,D161&gt;D$535),3,
    TRUE,""
)</f>
        <v>2</v>
      </c>
    </row>
    <row r="162" spans="1:6" x14ac:dyDescent="0.35">
      <c r="A162" s="1" t="s">
        <v>157</v>
      </c>
      <c r="B162" s="2">
        <v>8709</v>
      </c>
      <c r="C162" s="2">
        <v>284747</v>
      </c>
      <c r="D162" s="5">
        <f>+VLOOKUP(A162,Sheet6!A:D,4,0)</f>
        <v>0.29946524064171126</v>
      </c>
      <c r="E162" s="5">
        <f t="shared" si="2"/>
        <v>2.6080427807486637</v>
      </c>
      <c r="F162" s="5" cm="1">
        <f t="array" ref="F162">_xlfn.IFS(
    AND(C162&gt;C$535,D162&lt;D$535),1,
    AND(C162&gt;C$535,D162&gt;D$535),2,
    AND(C162&lt;C$535,D162&lt;D$535),4,
    AND(C162&lt;C$535,D162&gt;D$535),3,
    TRUE,""
)</f>
        <v>2</v>
      </c>
    </row>
    <row r="163" spans="1:6" x14ac:dyDescent="0.35">
      <c r="A163" s="1" t="s">
        <v>98</v>
      </c>
      <c r="B163" s="2">
        <v>58263</v>
      </c>
      <c r="C163" s="2">
        <v>226285</v>
      </c>
      <c r="D163" s="5">
        <f>+VLOOKUP(A163,Sheet6!A:D,4,0)</f>
        <v>0.29884225759768451</v>
      </c>
      <c r="E163" s="5">
        <f t="shared" si="2"/>
        <v>17.411446454413895</v>
      </c>
      <c r="F163" s="5" cm="1">
        <f t="array" ref="F163">_xlfn.IFS(
    AND(C163&gt;C$535,D163&lt;D$535),1,
    AND(C163&gt;C$535,D163&gt;D$535),2,
    AND(C163&lt;C$535,D163&lt;D$535),4,
    AND(C163&lt;C$535,D163&gt;D$535),3,
    TRUE,""
)</f>
        <v>2</v>
      </c>
    </row>
    <row r="164" spans="1:6" x14ac:dyDescent="0.35">
      <c r="A164" s="1" t="s">
        <v>286</v>
      </c>
      <c r="B164" s="2">
        <v>14597</v>
      </c>
      <c r="C164" s="2">
        <v>178121</v>
      </c>
      <c r="D164" s="5">
        <f>+VLOOKUP(A164,Sheet6!A:D,4,0)</f>
        <v>0.29621848739495799</v>
      </c>
      <c r="E164" s="5">
        <f t="shared" si="2"/>
        <v>4.3239012605042015</v>
      </c>
      <c r="F164" s="5" cm="1">
        <f t="array" ref="F164">_xlfn.IFS(
    AND(C164&gt;C$535,D164&lt;D$535),1,
    AND(C164&gt;C$535,D164&gt;D$535),2,
    AND(C164&lt;C$535,D164&lt;D$535),4,
    AND(C164&lt;C$535,D164&gt;D$535),3,
    TRUE,""
)</f>
        <v>3</v>
      </c>
    </row>
    <row r="165" spans="1:6" x14ac:dyDescent="0.35">
      <c r="A165" s="1" t="s">
        <v>23</v>
      </c>
      <c r="B165" s="1">
        <v>17.22</v>
      </c>
      <c r="C165" s="2">
        <v>349945</v>
      </c>
      <c r="D165" s="5">
        <f>+VLOOKUP(A165,Sheet6!A:D,4,0)</f>
        <v>0.29600000000000004</v>
      </c>
      <c r="E165" s="5">
        <f t="shared" si="2"/>
        <v>5.0971200000000001E-3</v>
      </c>
      <c r="F165" s="5" cm="1">
        <f t="array" ref="F165">_xlfn.IFS(
    AND(C165&gt;C$535,D165&lt;D$535),1,
    AND(C165&gt;C$535,D165&gt;D$535),2,
    AND(C165&lt;C$535,D165&lt;D$535),4,
    AND(C165&lt;C$535,D165&gt;D$535),3,
    TRUE,""
)</f>
        <v>2</v>
      </c>
    </row>
    <row r="166" spans="1:6" x14ac:dyDescent="0.35">
      <c r="A166" s="1" t="s">
        <v>16</v>
      </c>
      <c r="B166" s="2">
        <v>30705</v>
      </c>
      <c r="C166" s="2">
        <v>243903</v>
      </c>
      <c r="D166" s="5">
        <f>+VLOOKUP(A166,Sheet6!A:D,4,0)</f>
        <v>0.29572649572649573</v>
      </c>
      <c r="E166" s="5">
        <f t="shared" si="2"/>
        <v>9.080282051282051</v>
      </c>
      <c r="F166" s="5" cm="1">
        <f t="array" ref="F166">_xlfn.IFS(
    AND(C166&gt;C$535,D166&lt;D$535),1,
    AND(C166&gt;C$535,D166&gt;D$535),2,
    AND(C166&lt;C$535,D166&lt;D$535),4,
    AND(C166&lt;C$535,D166&gt;D$535),3,
    TRUE,""
)</f>
        <v>2</v>
      </c>
    </row>
    <row r="167" spans="1:6" x14ac:dyDescent="0.35">
      <c r="A167" s="1" t="s">
        <v>519</v>
      </c>
      <c r="B167" s="2">
        <v>62463</v>
      </c>
      <c r="C167" s="2">
        <v>310888</v>
      </c>
      <c r="D167" s="5">
        <f>+VLOOKUP(A167,Sheet6!A:D,4,0)</f>
        <v>0.29504504504504503</v>
      </c>
      <c r="E167" s="5">
        <f t="shared" si="2"/>
        <v>18.429398648648647</v>
      </c>
      <c r="F167" s="5" cm="1">
        <f t="array" ref="F167">_xlfn.IFS(
    AND(C167&gt;C$535,D167&lt;D$535),1,
    AND(C167&gt;C$535,D167&gt;D$535),2,
    AND(C167&lt;C$535,D167&lt;D$535),4,
    AND(C167&lt;C$535,D167&gt;D$535),3,
    TRUE,""
)</f>
        <v>2</v>
      </c>
    </row>
    <row r="168" spans="1:6" x14ac:dyDescent="0.35">
      <c r="A168" s="1" t="s">
        <v>440</v>
      </c>
      <c r="B168" s="2">
        <v>34722</v>
      </c>
      <c r="C168" s="2">
        <v>258622</v>
      </c>
      <c r="D168" s="5">
        <f>+VLOOKUP(A168,Sheet6!A:D,4,0)</f>
        <v>0.29489291598023065</v>
      </c>
      <c r="E168" s="5">
        <f t="shared" si="2"/>
        <v>10.239271828665569</v>
      </c>
      <c r="F168" s="5" cm="1">
        <f t="array" ref="F168">_xlfn.IFS(
    AND(C168&gt;C$535,D168&lt;D$535),1,
    AND(C168&gt;C$535,D168&gt;D$535),2,
    AND(C168&lt;C$535,D168&lt;D$535),4,
    AND(C168&lt;C$535,D168&gt;D$535),3,
    TRUE,""
)</f>
        <v>2</v>
      </c>
    </row>
    <row r="169" spans="1:6" x14ac:dyDescent="0.35">
      <c r="A169" s="1" t="s">
        <v>470</v>
      </c>
      <c r="B169" s="2">
        <v>8126</v>
      </c>
      <c r="C169" s="2">
        <v>276018</v>
      </c>
      <c r="D169" s="5">
        <f>+VLOOKUP(A169,Sheet6!A:D,4,0)</f>
        <v>0.29411764705882354</v>
      </c>
      <c r="E169" s="5">
        <f t="shared" si="2"/>
        <v>2.39</v>
      </c>
      <c r="F169" s="5" cm="1">
        <f t="array" ref="F169">_xlfn.IFS(
    AND(C169&gt;C$535,D169&lt;D$535),1,
    AND(C169&gt;C$535,D169&gt;D$535),2,
    AND(C169&lt;C$535,D169&lt;D$535),4,
    AND(C169&lt;C$535,D169&gt;D$535),3,
    TRUE,""
)</f>
        <v>2</v>
      </c>
    </row>
    <row r="170" spans="1:6" x14ac:dyDescent="0.35">
      <c r="A170" s="1" t="s">
        <v>300</v>
      </c>
      <c r="B170" s="2">
        <v>10196</v>
      </c>
      <c r="C170" s="2">
        <v>331219</v>
      </c>
      <c r="D170" s="5">
        <f>+VLOOKUP(A170,Sheet6!A:D,4,0)</f>
        <v>0.29166666666666663</v>
      </c>
      <c r="E170" s="5">
        <f t="shared" si="2"/>
        <v>2.9738333333333329</v>
      </c>
      <c r="F170" s="5" cm="1">
        <f t="array" ref="F170">_xlfn.IFS(
    AND(C170&gt;C$535,D170&lt;D$535),1,
    AND(C170&gt;C$535,D170&gt;D$535),2,
    AND(C170&lt;C$535,D170&lt;D$535),4,
    AND(C170&lt;C$535,D170&gt;D$535),3,
    TRUE,""
)</f>
        <v>2</v>
      </c>
    </row>
    <row r="171" spans="1:6" x14ac:dyDescent="0.35">
      <c r="A171" s="1" t="s">
        <v>210</v>
      </c>
      <c r="B171" s="2">
        <v>24574</v>
      </c>
      <c r="C171" s="2">
        <v>295561</v>
      </c>
      <c r="D171" s="5">
        <f>+VLOOKUP(A171,Sheet6!A:D,4,0)</f>
        <v>0.29047619047619044</v>
      </c>
      <c r="E171" s="5">
        <f t="shared" si="2"/>
        <v>7.1381619047619038</v>
      </c>
      <c r="F171" s="5" cm="1">
        <f t="array" ref="F171">_xlfn.IFS(
    AND(C171&gt;C$535,D171&lt;D$535),1,
    AND(C171&gt;C$535,D171&gt;D$535),2,
    AND(C171&lt;C$535,D171&lt;D$535),4,
    AND(C171&lt;C$535,D171&gt;D$535),3,
    TRUE,""
)</f>
        <v>2</v>
      </c>
    </row>
    <row r="172" spans="1:6" x14ac:dyDescent="0.35">
      <c r="A172" s="1" t="s">
        <v>64</v>
      </c>
      <c r="B172" s="2">
        <v>3123</v>
      </c>
      <c r="C172" s="2">
        <v>320245</v>
      </c>
      <c r="D172" s="5">
        <f>+VLOOKUP(A172,Sheet6!A:D,4,0)</f>
        <v>0.29032258064516125</v>
      </c>
      <c r="E172" s="5">
        <f t="shared" si="2"/>
        <v>0.90667741935483859</v>
      </c>
      <c r="F172" s="5" cm="1">
        <f t="array" ref="F172">_xlfn.IFS(
    AND(C172&gt;C$535,D172&lt;D$535),1,
    AND(C172&gt;C$535,D172&gt;D$535),2,
    AND(C172&lt;C$535,D172&lt;D$535),4,
    AND(C172&lt;C$535,D172&gt;D$535),3,
    TRUE,""
)</f>
        <v>2</v>
      </c>
    </row>
    <row r="173" spans="1:6" x14ac:dyDescent="0.35">
      <c r="A173" s="1" t="s">
        <v>143</v>
      </c>
      <c r="B173" s="2">
        <v>25114</v>
      </c>
      <c r="C173" s="2">
        <v>250461</v>
      </c>
      <c r="D173" s="5">
        <f>+VLOOKUP(A173,Sheet6!A:D,4,0)</f>
        <v>0.28947368421052627</v>
      </c>
      <c r="E173" s="5">
        <f t="shared" si="2"/>
        <v>7.269842105263157</v>
      </c>
      <c r="F173" s="5" cm="1">
        <f t="array" ref="F173">_xlfn.IFS(
    AND(C173&gt;C$535,D173&lt;D$535),1,
    AND(C173&gt;C$535,D173&gt;D$535),2,
    AND(C173&lt;C$535,D173&lt;D$535),4,
    AND(C173&lt;C$535,D173&gt;D$535),3,
    TRUE,""
)</f>
        <v>2</v>
      </c>
    </row>
    <row r="174" spans="1:6" x14ac:dyDescent="0.35">
      <c r="A174" s="1" t="s">
        <v>179</v>
      </c>
      <c r="B174" s="2">
        <v>3899</v>
      </c>
      <c r="C174" s="2">
        <v>219039</v>
      </c>
      <c r="D174" s="5">
        <f>+VLOOKUP(A174,Sheet6!A:D,4,0)</f>
        <v>0.28865979381443302</v>
      </c>
      <c r="E174" s="5">
        <f t="shared" si="2"/>
        <v>1.1254845360824743</v>
      </c>
      <c r="F174" s="5" cm="1">
        <f t="array" ref="F174">_xlfn.IFS(
    AND(C174&gt;C$535,D174&lt;D$535),1,
    AND(C174&gt;C$535,D174&gt;D$535),2,
    AND(C174&lt;C$535,D174&lt;D$535),4,
    AND(C174&lt;C$535,D174&gt;D$535),3,
    TRUE,""
)</f>
        <v>2</v>
      </c>
    </row>
    <row r="175" spans="1:6" x14ac:dyDescent="0.35">
      <c r="A175" s="1" t="s">
        <v>154</v>
      </c>
      <c r="B175" s="2">
        <v>35485</v>
      </c>
      <c r="C175" s="2">
        <v>329889</v>
      </c>
      <c r="D175" s="5">
        <f>+VLOOKUP(A175,Sheet6!A:D,4,0)</f>
        <v>0.28748280605226961</v>
      </c>
      <c r="E175" s="5">
        <f t="shared" si="2"/>
        <v>10.201327372764787</v>
      </c>
      <c r="F175" s="5" cm="1">
        <f t="array" ref="F175">_xlfn.IFS(
    AND(C175&gt;C$535,D175&lt;D$535),1,
    AND(C175&gt;C$535,D175&gt;D$535),2,
    AND(C175&lt;C$535,D175&lt;D$535),4,
    AND(C175&lt;C$535,D175&gt;D$535),3,
    TRUE,""
)</f>
        <v>2</v>
      </c>
    </row>
    <row r="176" spans="1:6" x14ac:dyDescent="0.35">
      <c r="A176" s="1" t="s">
        <v>395</v>
      </c>
      <c r="B176" s="2">
        <v>7161</v>
      </c>
      <c r="C176" s="2">
        <v>465977</v>
      </c>
      <c r="D176" s="5">
        <f>+VLOOKUP(A176,Sheet6!A:D,4,0)</f>
        <v>0.287292817679558</v>
      </c>
      <c r="E176" s="5">
        <f t="shared" si="2"/>
        <v>2.0573038674033151</v>
      </c>
      <c r="F176" s="5" cm="1">
        <f t="array" ref="F176">_xlfn.IFS(
    AND(C176&gt;C$535,D176&lt;D$535),1,
    AND(C176&gt;C$535,D176&gt;D$535),2,
    AND(C176&lt;C$535,D176&lt;D$535),4,
    AND(C176&lt;C$535,D176&gt;D$535),3,
    TRUE,""
)</f>
        <v>2</v>
      </c>
    </row>
    <row r="177" spans="1:6" x14ac:dyDescent="0.35">
      <c r="A177" s="1" t="s">
        <v>102</v>
      </c>
      <c r="B177" s="2">
        <v>7363</v>
      </c>
      <c r="C177" s="1">
        <v>288.74</v>
      </c>
      <c r="D177" s="5">
        <f>+VLOOKUP(A177,Sheet6!A:D,4,0)</f>
        <v>0.28703703703703703</v>
      </c>
      <c r="E177" s="5">
        <f t="shared" si="2"/>
        <v>2.1134537037037036</v>
      </c>
      <c r="F177" s="5" cm="1">
        <f t="array" ref="F177">_xlfn.IFS(
    AND(C177&gt;C$535,D177&lt;D$535),1,
    AND(C177&gt;C$535,D177&gt;D$535),2,
    AND(C177&lt;C$535,D177&lt;D$535),4,
    AND(C177&lt;C$535,D177&gt;D$535),3,
    TRUE,""
)</f>
        <v>3</v>
      </c>
    </row>
    <row r="178" spans="1:6" x14ac:dyDescent="0.35">
      <c r="A178" s="1" t="s">
        <v>125</v>
      </c>
      <c r="B178" s="2">
        <v>5859</v>
      </c>
      <c r="C178" s="1">
        <v>229.91</v>
      </c>
      <c r="D178" s="5">
        <f>+VLOOKUP(A178,Sheet6!A:D,4,0)</f>
        <v>0.28688524590163933</v>
      </c>
      <c r="E178" s="5">
        <f t="shared" si="2"/>
        <v>1.6808606557377048</v>
      </c>
      <c r="F178" s="5" cm="1">
        <f t="array" ref="F178">_xlfn.IFS(
    AND(C178&gt;C$535,D178&lt;D$535),1,
    AND(C178&gt;C$535,D178&gt;D$535),2,
    AND(C178&lt;C$535,D178&lt;D$535),4,
    AND(C178&lt;C$535,D178&gt;D$535),3,
    TRUE,""
)</f>
        <v>3</v>
      </c>
    </row>
    <row r="179" spans="1:6" x14ac:dyDescent="0.35">
      <c r="A179" s="1" t="s">
        <v>128</v>
      </c>
      <c r="B179" s="2">
        <v>5337</v>
      </c>
      <c r="C179" s="2">
        <v>255927</v>
      </c>
      <c r="D179" s="5">
        <f>+VLOOKUP(A179,Sheet6!A:D,4,0)</f>
        <v>0.28658536585365851</v>
      </c>
      <c r="E179" s="5">
        <f t="shared" si="2"/>
        <v>1.5295060975609753</v>
      </c>
      <c r="F179" s="5" cm="1">
        <f t="array" ref="F179">_xlfn.IFS(
    AND(C179&gt;C$535,D179&lt;D$535),1,
    AND(C179&gt;C$535,D179&gt;D$535),2,
    AND(C179&lt;C$535,D179&lt;D$535),4,
    AND(C179&lt;C$535,D179&gt;D$535),3,
    TRUE,""
)</f>
        <v>2</v>
      </c>
    </row>
    <row r="180" spans="1:6" x14ac:dyDescent="0.35">
      <c r="A180" s="1" t="s">
        <v>282</v>
      </c>
      <c r="B180" s="2">
        <v>18615</v>
      </c>
      <c r="C180" s="1">
        <v>222.83</v>
      </c>
      <c r="D180" s="5">
        <f>+VLOOKUP(A180,Sheet6!A:D,4,0)</f>
        <v>0.2857142857142857</v>
      </c>
      <c r="E180" s="5">
        <f t="shared" si="2"/>
        <v>5.3185714285714285</v>
      </c>
      <c r="F180" s="5" cm="1">
        <f t="array" ref="F180">_xlfn.IFS(
    AND(C180&gt;C$535,D180&lt;D$535),1,
    AND(C180&gt;C$535,D180&gt;D$535),2,
    AND(C180&lt;C$535,D180&lt;D$535),4,
    AND(C180&lt;C$535,D180&gt;D$535),3,
    TRUE,""
)</f>
        <v>3</v>
      </c>
    </row>
    <row r="181" spans="1:6" x14ac:dyDescent="0.35">
      <c r="A181" s="1" t="s">
        <v>312</v>
      </c>
      <c r="B181" s="2">
        <v>24211</v>
      </c>
      <c r="C181" s="2">
        <v>411462</v>
      </c>
      <c r="D181" s="5">
        <f>+VLOOKUP(A181,Sheet6!A:D,4,0)</f>
        <v>0.28537170263788969</v>
      </c>
      <c r="E181" s="5">
        <f t="shared" si="2"/>
        <v>6.9091342925659474</v>
      </c>
      <c r="F181" s="5" cm="1">
        <f t="array" ref="F181">_xlfn.IFS(
    AND(C181&gt;C$535,D181&lt;D$535),1,
    AND(C181&gt;C$535,D181&gt;D$535),2,
    AND(C181&lt;C$535,D181&lt;D$535),4,
    AND(C181&lt;C$535,D181&gt;D$535),3,
    TRUE,""
)</f>
        <v>2</v>
      </c>
    </row>
    <row r="182" spans="1:6" x14ac:dyDescent="0.35">
      <c r="A182" s="1" t="s">
        <v>540</v>
      </c>
      <c r="B182" s="2">
        <v>70989</v>
      </c>
      <c r="C182" s="2">
        <v>307723</v>
      </c>
      <c r="D182" s="5">
        <f>+VLOOKUP(A182,Sheet6!A:D,4,0)</f>
        <v>0.28535669586983725</v>
      </c>
      <c r="E182" s="5">
        <f t="shared" si="2"/>
        <v>20.257186483103876</v>
      </c>
      <c r="F182" s="5" cm="1">
        <f t="array" ref="F182">_xlfn.IFS(
    AND(C182&gt;C$535,D182&lt;D$535),1,
    AND(C182&gt;C$535,D182&gt;D$535),2,
    AND(C182&lt;C$535,D182&lt;D$535),4,
    AND(C182&lt;C$535,D182&gt;D$535),3,
    TRUE,""
)</f>
        <v>2</v>
      </c>
    </row>
    <row r="183" spans="1:6" x14ac:dyDescent="0.35">
      <c r="A183" s="1" t="s">
        <v>56</v>
      </c>
      <c r="B183" s="2">
        <v>14581</v>
      </c>
      <c r="C183" s="2">
        <v>307724</v>
      </c>
      <c r="D183" s="5">
        <f>+VLOOKUP(A183,Sheet6!A:D,4,0)</f>
        <v>0.28510638297872343</v>
      </c>
      <c r="E183" s="5">
        <f t="shared" si="2"/>
        <v>4.157136170212766</v>
      </c>
      <c r="F183" s="5" cm="1">
        <f t="array" ref="F183">_xlfn.IFS(
    AND(C183&gt;C$535,D183&lt;D$535),1,
    AND(C183&gt;C$535,D183&gt;D$535),2,
    AND(C183&lt;C$535,D183&lt;D$535),4,
    AND(C183&lt;C$535,D183&gt;D$535),3,
    TRUE,""
)</f>
        <v>2</v>
      </c>
    </row>
    <row r="184" spans="1:6" x14ac:dyDescent="0.35">
      <c r="A184" s="1" t="s">
        <v>292</v>
      </c>
      <c r="B184" s="2">
        <v>23529</v>
      </c>
      <c r="C184" s="2">
        <v>275362</v>
      </c>
      <c r="D184" s="5">
        <f>+VLOOKUP(A184,Sheet6!A:D,4,0)</f>
        <v>0.28360413589364847</v>
      </c>
      <c r="E184" s="5">
        <f t="shared" si="2"/>
        <v>6.6729217134416547</v>
      </c>
      <c r="F184" s="5" cm="1">
        <f t="array" ref="F184">_xlfn.IFS(
    AND(C184&gt;C$535,D184&lt;D$535),1,
    AND(C184&gt;C$535,D184&gt;D$535),2,
    AND(C184&lt;C$535,D184&lt;D$535),4,
    AND(C184&lt;C$535,D184&gt;D$535),3,
    TRUE,""
)</f>
        <v>2</v>
      </c>
    </row>
    <row r="185" spans="1:6" x14ac:dyDescent="0.35">
      <c r="A185" s="1" t="s">
        <v>11</v>
      </c>
      <c r="B185" s="2">
        <v>27207</v>
      </c>
      <c r="C185" s="2">
        <v>274264</v>
      </c>
      <c r="D185" s="5">
        <f>+VLOOKUP(A185,Sheet6!A:D,4,0)</f>
        <v>0.28330522765598654</v>
      </c>
      <c r="E185" s="5">
        <f t="shared" si="2"/>
        <v>7.7078853288364249</v>
      </c>
      <c r="F185" s="5" cm="1">
        <f t="array" ref="F185">_xlfn.IFS(
    AND(C185&gt;C$535,D185&lt;D$535),1,
    AND(C185&gt;C$535,D185&gt;D$535),2,
    AND(C185&lt;C$535,D185&lt;D$535),4,
    AND(C185&lt;C$535,D185&gt;D$535),3,
    TRUE,""
)</f>
        <v>2</v>
      </c>
    </row>
    <row r="186" spans="1:6" x14ac:dyDescent="0.35">
      <c r="A186" s="1" t="s">
        <v>48</v>
      </c>
      <c r="B186" s="2">
        <v>38989</v>
      </c>
      <c r="C186" s="2">
        <v>337169</v>
      </c>
      <c r="D186" s="5">
        <f>+VLOOKUP(A186,Sheet6!A:D,4,0)</f>
        <v>0.28222523744911804</v>
      </c>
      <c r="E186" s="5">
        <f t="shared" si="2"/>
        <v>11.003679782903664</v>
      </c>
      <c r="F186" s="5" cm="1">
        <f t="array" ref="F186">_xlfn.IFS(
    AND(C186&gt;C$535,D186&lt;D$535),1,
    AND(C186&gt;C$535,D186&gt;D$535),2,
    AND(C186&lt;C$535,D186&lt;D$535),4,
    AND(C186&lt;C$535,D186&gt;D$535),3,
    TRUE,""
)</f>
        <v>2</v>
      </c>
    </row>
    <row r="187" spans="1:6" x14ac:dyDescent="0.35">
      <c r="A187" s="1" t="s">
        <v>171</v>
      </c>
      <c r="B187" s="2">
        <v>6685</v>
      </c>
      <c r="C187" s="2">
        <v>212254</v>
      </c>
      <c r="D187" s="5">
        <f>+VLOOKUP(A187,Sheet6!A:D,4,0)</f>
        <v>0.28205128205128205</v>
      </c>
      <c r="E187" s="5">
        <f t="shared" si="2"/>
        <v>1.8855128205128207</v>
      </c>
      <c r="F187" s="5" cm="1">
        <f t="array" ref="F187">_xlfn.IFS(
    AND(C187&gt;C$535,D187&lt;D$535),1,
    AND(C187&gt;C$535,D187&gt;D$535),2,
    AND(C187&lt;C$535,D187&lt;D$535),4,
    AND(C187&lt;C$535,D187&gt;D$535),3,
    TRUE,""
)</f>
        <v>2</v>
      </c>
    </row>
    <row r="188" spans="1:6" x14ac:dyDescent="0.35">
      <c r="A188" s="1" t="s">
        <v>83</v>
      </c>
      <c r="B188" s="2">
        <v>39148</v>
      </c>
      <c r="C188" s="2">
        <v>282591</v>
      </c>
      <c r="D188" s="5">
        <f>+VLOOKUP(A188,Sheet6!A:D,4,0)</f>
        <v>0.28154425612052736</v>
      </c>
      <c r="E188" s="5">
        <f t="shared" si="2"/>
        <v>11.021894538606404</v>
      </c>
      <c r="F188" s="5" cm="1">
        <f t="array" ref="F188">_xlfn.IFS(
    AND(C188&gt;C$535,D188&lt;D$535),1,
    AND(C188&gt;C$535,D188&gt;D$535),2,
    AND(C188&lt;C$535,D188&lt;D$535),4,
    AND(C188&lt;C$535,D188&gt;D$535),3,
    TRUE,""
)</f>
        <v>2</v>
      </c>
    </row>
    <row r="189" spans="1:6" x14ac:dyDescent="0.35">
      <c r="A189" s="1" t="s">
        <v>394</v>
      </c>
      <c r="B189" s="2">
        <v>4306</v>
      </c>
      <c r="C189" s="2">
        <v>282872</v>
      </c>
      <c r="D189" s="5">
        <f>+VLOOKUP(A189,Sheet6!A:D,4,0)</f>
        <v>0.28099173553719009</v>
      </c>
      <c r="E189" s="5">
        <f t="shared" si="2"/>
        <v>1.2099504132231405</v>
      </c>
      <c r="F189" s="5" cm="1">
        <f t="array" ref="F189">_xlfn.IFS(
    AND(C189&gt;C$535,D189&lt;D$535),1,
    AND(C189&gt;C$535,D189&gt;D$535),2,
    AND(C189&lt;C$535,D189&lt;D$535),4,
    AND(C189&lt;C$535,D189&gt;D$535),3,
    TRUE,""
)</f>
        <v>2</v>
      </c>
    </row>
    <row r="190" spans="1:6" x14ac:dyDescent="0.35">
      <c r="A190" s="1" t="s">
        <v>47</v>
      </c>
      <c r="B190" s="2">
        <v>27308</v>
      </c>
      <c r="C190" s="2">
        <v>309731</v>
      </c>
      <c r="D190" s="5">
        <f>+VLOOKUP(A190,Sheet6!A:D,4,0)</f>
        <v>0.27954971857410882</v>
      </c>
      <c r="E190" s="5">
        <f t="shared" si="2"/>
        <v>7.6339437148217639</v>
      </c>
      <c r="F190" s="5" cm="1">
        <f t="array" ref="F190">_xlfn.IFS(
    AND(C190&gt;C$535,D190&lt;D$535),1,
    AND(C190&gt;C$535,D190&gt;D$535),2,
    AND(C190&lt;C$535,D190&lt;D$535),4,
    AND(C190&lt;C$535,D190&gt;D$535),3,
    TRUE,""
)</f>
        <v>2</v>
      </c>
    </row>
    <row r="191" spans="1:6" x14ac:dyDescent="0.35">
      <c r="A191" s="1" t="s">
        <v>438</v>
      </c>
      <c r="B191" s="2">
        <v>61229</v>
      </c>
      <c r="C191" s="2">
        <v>239183</v>
      </c>
      <c r="D191" s="5">
        <f>+VLOOKUP(A191,Sheet6!A:D,4,0)</f>
        <v>0.27897350993377484</v>
      </c>
      <c r="E191" s="5">
        <f t="shared" si="2"/>
        <v>17.081269039735101</v>
      </c>
      <c r="F191" s="5" cm="1">
        <f t="array" ref="F191">_xlfn.IFS(
    AND(C191&gt;C$535,D191&lt;D$535),1,
    AND(C191&gt;C$535,D191&gt;D$535),2,
    AND(C191&lt;C$535,D191&lt;D$535),4,
    AND(C191&lt;C$535,D191&gt;D$535),3,
    TRUE,""
)</f>
        <v>2</v>
      </c>
    </row>
    <row r="192" spans="1:6" x14ac:dyDescent="0.35">
      <c r="A192" s="1" t="s">
        <v>183</v>
      </c>
      <c r="B192" s="2">
        <v>52434</v>
      </c>
      <c r="C192" s="2">
        <v>260271</v>
      </c>
      <c r="D192" s="5">
        <f>+VLOOKUP(A192,Sheet6!A:D,4,0)</f>
        <v>0.27554438860971525</v>
      </c>
      <c r="E192" s="5">
        <f t="shared" si="2"/>
        <v>14.44789447236181</v>
      </c>
      <c r="F192" s="5" cm="1">
        <f t="array" ref="F192">_xlfn.IFS(
    AND(C192&gt;C$535,D192&lt;D$535),1,
    AND(C192&gt;C$535,D192&gt;D$535),2,
    AND(C192&lt;C$535,D192&lt;D$535),4,
    AND(C192&lt;C$535,D192&gt;D$535),3,
    TRUE,""
)</f>
        <v>2</v>
      </c>
    </row>
    <row r="193" spans="1:6" x14ac:dyDescent="0.35">
      <c r="A193" s="1" t="s">
        <v>145</v>
      </c>
      <c r="B193" s="2">
        <v>4336</v>
      </c>
      <c r="C193" s="2">
        <v>261078</v>
      </c>
      <c r="D193" s="5">
        <f>+VLOOKUP(A193,Sheet6!A:D,4,0)</f>
        <v>0.27536231884057971</v>
      </c>
      <c r="E193" s="5">
        <f t="shared" si="2"/>
        <v>1.1939710144927538</v>
      </c>
      <c r="F193" s="5" cm="1">
        <f t="array" ref="F193">_xlfn.IFS(
    AND(C193&gt;C$535,D193&lt;D$535),1,
    AND(C193&gt;C$535,D193&gt;D$535),2,
    AND(C193&lt;C$535,D193&lt;D$535),4,
    AND(C193&lt;C$535,D193&gt;D$535),3,
    TRUE,""
)</f>
        <v>2</v>
      </c>
    </row>
    <row r="194" spans="1:6" x14ac:dyDescent="0.35">
      <c r="A194" s="1" t="s">
        <v>538</v>
      </c>
      <c r="B194" s="1">
        <v>7.04</v>
      </c>
      <c r="C194" s="2">
        <v>195022</v>
      </c>
      <c r="D194" s="5">
        <f>+VLOOKUP(A194,Sheet6!A:D,4,0)</f>
        <v>0.2752808988764045</v>
      </c>
      <c r="E194" s="5">
        <f t="shared" si="2"/>
        <v>1.9379775280898876E-3</v>
      </c>
      <c r="F194" s="5" cm="1">
        <f t="array" ref="F194">_xlfn.IFS(
    AND(C194&gt;C$535,D194&lt;D$535),1,
    AND(C194&gt;C$535,D194&gt;D$535),2,
    AND(C194&lt;C$535,D194&lt;D$535),4,
    AND(C194&lt;C$535,D194&gt;D$535),3,
    TRUE,""
)</f>
        <v>3</v>
      </c>
    </row>
    <row r="195" spans="1:6" x14ac:dyDescent="0.35">
      <c r="A195" s="1" t="s">
        <v>443</v>
      </c>
      <c r="B195" s="1">
        <v>56.8</v>
      </c>
      <c r="C195" s="2">
        <v>303977</v>
      </c>
      <c r="D195" s="5">
        <f>+VLOOKUP(A195,Sheet6!A:D,4,0)</f>
        <v>0.2749428789032749</v>
      </c>
      <c r="E195" s="5">
        <f t="shared" si="2"/>
        <v>1.5616755521706013E-2</v>
      </c>
      <c r="F195" s="5" cm="1">
        <f t="array" ref="F195">_xlfn.IFS(
    AND(C195&gt;C$535,D195&lt;D$535),1,
    AND(C195&gt;C$535,D195&gt;D$535),2,
    AND(C195&lt;C$535,D195&lt;D$535),4,
    AND(C195&lt;C$535,D195&gt;D$535),3,
    TRUE,""
)</f>
        <v>2</v>
      </c>
    </row>
    <row r="196" spans="1:6" x14ac:dyDescent="0.35">
      <c r="A196" s="1" t="s">
        <v>202</v>
      </c>
      <c r="B196" s="2">
        <v>6897</v>
      </c>
      <c r="C196" s="2">
        <v>229379</v>
      </c>
      <c r="D196" s="5">
        <f>+VLOOKUP(A196,Sheet6!A:D,4,0)</f>
        <v>0.27456647398843931</v>
      </c>
      <c r="E196" s="5">
        <f t="shared" ref="E196:E231" si="3">(B196*D196)/1000</f>
        <v>1.8936849710982657</v>
      </c>
      <c r="F196" s="5" cm="1">
        <f t="array" ref="F196">_xlfn.IFS(
    AND(C196&gt;C$535,D196&lt;D$535),1,
    AND(C196&gt;C$535,D196&gt;D$535),2,
    AND(C196&lt;C$535,D196&lt;D$535),4,
    AND(C196&lt;C$535,D196&gt;D$535),3,
    TRUE,""
)</f>
        <v>2</v>
      </c>
    </row>
    <row r="197" spans="1:6" x14ac:dyDescent="0.35">
      <c r="A197" s="1" t="s">
        <v>334</v>
      </c>
      <c r="B197" s="2">
        <v>44454</v>
      </c>
      <c r="C197" s="2">
        <v>259932</v>
      </c>
      <c r="D197" s="5">
        <f>+VLOOKUP(A197,Sheet6!A:D,4,0)</f>
        <v>0.27448979591836731</v>
      </c>
      <c r="E197" s="5">
        <f t="shared" si="3"/>
        <v>12.202169387755101</v>
      </c>
      <c r="F197" s="5" cm="1">
        <f t="array" ref="F197">_xlfn.IFS(
    AND(C197&gt;C$535,D197&lt;D$535),1,
    AND(C197&gt;C$535,D197&gt;D$535),2,
    AND(C197&lt;C$535,D197&lt;D$535),4,
    AND(C197&lt;C$535,D197&gt;D$535),3,
    TRUE,""
)</f>
        <v>2</v>
      </c>
    </row>
    <row r="198" spans="1:6" x14ac:dyDescent="0.35">
      <c r="A198" s="1" t="s">
        <v>372</v>
      </c>
      <c r="B198" s="2">
        <v>9583</v>
      </c>
      <c r="C198" s="2">
        <v>170935</v>
      </c>
      <c r="D198" s="5">
        <f>+VLOOKUP(A198,Sheet6!A:D,4,0)</f>
        <v>0.2742857142857143</v>
      </c>
      <c r="E198" s="5">
        <f t="shared" si="3"/>
        <v>2.6284800000000001</v>
      </c>
      <c r="F198" s="5" cm="1">
        <f t="array" ref="F198">_xlfn.IFS(
    AND(C198&gt;C$535,D198&lt;D$535),1,
    AND(C198&gt;C$535,D198&gt;D$535),2,
    AND(C198&lt;C$535,D198&lt;D$535),4,
    AND(C198&lt;C$535,D198&gt;D$535),3,
    TRUE,""
)</f>
        <v>3</v>
      </c>
    </row>
    <row r="199" spans="1:6" x14ac:dyDescent="0.35">
      <c r="A199" s="1" t="s">
        <v>172</v>
      </c>
      <c r="B199" s="2">
        <v>62406</v>
      </c>
      <c r="C199" s="2">
        <v>353957</v>
      </c>
      <c r="D199" s="5">
        <f>+VLOOKUP(A199,Sheet6!A:D,4,0)</f>
        <v>0.27426160337552741</v>
      </c>
      <c r="E199" s="5">
        <f t="shared" si="3"/>
        <v>17.115569620253162</v>
      </c>
      <c r="F199" s="5" cm="1">
        <f t="array" ref="F199">_xlfn.IFS(
    AND(C199&gt;C$535,D199&lt;D$535),1,
    AND(C199&gt;C$535,D199&gt;D$535),2,
    AND(C199&lt;C$535,D199&lt;D$535),4,
    AND(C199&lt;C$535,D199&gt;D$535),3,
    TRUE,""
)</f>
        <v>2</v>
      </c>
    </row>
    <row r="200" spans="1:6" x14ac:dyDescent="0.35">
      <c r="A200" s="1" t="s">
        <v>328</v>
      </c>
      <c r="B200" s="2">
        <v>69502</v>
      </c>
      <c r="C200" s="2">
        <v>189938</v>
      </c>
      <c r="D200" s="5">
        <f>+VLOOKUP(A200,Sheet6!A:D,4,0)</f>
        <v>0.27296587926509186</v>
      </c>
      <c r="E200" s="5">
        <f t="shared" si="3"/>
        <v>18.971674540682415</v>
      </c>
      <c r="F200" s="5" cm="1">
        <f t="array" ref="F200">_xlfn.IFS(
    AND(C200&gt;C$535,D200&lt;D$535),1,
    AND(C200&gt;C$535,D200&gt;D$535),2,
    AND(C200&lt;C$535,D200&lt;D$535),4,
    AND(C200&lt;C$535,D200&gt;D$535),3,
    TRUE,""
)</f>
        <v>3</v>
      </c>
    </row>
    <row r="201" spans="1:6" x14ac:dyDescent="0.35">
      <c r="A201" s="1" t="s">
        <v>58</v>
      </c>
      <c r="B201" s="2">
        <v>38743</v>
      </c>
      <c r="C201" s="2">
        <v>276024</v>
      </c>
      <c r="D201" s="5">
        <f>+VLOOKUP(A201,Sheet6!A:D,4,0)</f>
        <v>0.2729439809296782</v>
      </c>
      <c r="E201" s="5">
        <f t="shared" si="3"/>
        <v>10.574668653158522</v>
      </c>
      <c r="F201" s="5" cm="1">
        <f t="array" ref="F201">_xlfn.IFS(
    AND(C201&gt;C$535,D201&lt;D$535),1,
    AND(C201&gt;C$535,D201&gt;D$535),2,
    AND(C201&lt;C$535,D201&lt;D$535),4,
    AND(C201&lt;C$535,D201&gt;D$535),3,
    TRUE,""
)</f>
        <v>2</v>
      </c>
    </row>
    <row r="202" spans="1:6" x14ac:dyDescent="0.35">
      <c r="A202" s="1" t="s">
        <v>20</v>
      </c>
      <c r="B202" s="2">
        <v>56777</v>
      </c>
      <c r="C202" s="2">
        <v>251318</v>
      </c>
      <c r="D202" s="5">
        <f>+VLOOKUP(A202,Sheet6!A:D,4,0)</f>
        <v>0.27266028002947679</v>
      </c>
      <c r="E202" s="5">
        <f t="shared" si="3"/>
        <v>15.480832719233604</v>
      </c>
      <c r="F202" s="5" cm="1">
        <f t="array" ref="F202">_xlfn.IFS(
    AND(C202&gt;C$535,D202&lt;D$535),1,
    AND(C202&gt;C$535,D202&gt;D$535),2,
    AND(C202&lt;C$535,D202&lt;D$535),4,
    AND(C202&lt;C$535,D202&gt;D$535),3,
    TRUE,""
)</f>
        <v>2</v>
      </c>
    </row>
    <row r="203" spans="1:6" x14ac:dyDescent="0.35">
      <c r="A203" s="1" t="s">
        <v>192</v>
      </c>
      <c r="B203" s="2">
        <v>61836</v>
      </c>
      <c r="C203" s="2">
        <v>212385</v>
      </c>
      <c r="D203" s="5">
        <f>+VLOOKUP(A203,Sheet6!A:D,4,0)</f>
        <v>0.27211343686698175</v>
      </c>
      <c r="E203" s="5">
        <f t="shared" si="3"/>
        <v>16.826406482106684</v>
      </c>
      <c r="F203" s="5" cm="1">
        <f t="array" ref="F203">_xlfn.IFS(
    AND(C203&gt;C$535,D203&lt;D$535),1,
    AND(C203&gt;C$535,D203&gt;D$535),2,
    AND(C203&lt;C$535,D203&lt;D$535),4,
    AND(C203&lt;C$535,D203&gt;D$535),3,
    TRUE,""
)</f>
        <v>2</v>
      </c>
    </row>
    <row r="204" spans="1:6" x14ac:dyDescent="0.35">
      <c r="A204" s="1" t="s">
        <v>211</v>
      </c>
      <c r="B204" s="2">
        <v>69472</v>
      </c>
      <c r="C204" s="2">
        <v>273407</v>
      </c>
      <c r="D204" s="5">
        <f>+VLOOKUP(A204,Sheet6!A:D,4,0)</f>
        <v>0.27187948350071739</v>
      </c>
      <c r="E204" s="5">
        <f t="shared" si="3"/>
        <v>18.88801147776184</v>
      </c>
      <c r="F204" s="5" cm="1">
        <f t="array" ref="F204">_xlfn.IFS(
    AND(C204&gt;C$535,D204&lt;D$535),1,
    AND(C204&gt;C$535,D204&gt;D$535),2,
    AND(C204&lt;C$535,D204&lt;D$535),4,
    AND(C204&lt;C$535,D204&gt;D$535),3,
    TRUE,""
)</f>
        <v>2</v>
      </c>
    </row>
    <row r="205" spans="1:6" x14ac:dyDescent="0.35">
      <c r="A205" s="1" t="s">
        <v>297</v>
      </c>
      <c r="B205" s="2">
        <v>20264</v>
      </c>
      <c r="C205" s="2">
        <v>268606</v>
      </c>
      <c r="D205" s="5">
        <f>+VLOOKUP(A205,Sheet6!A:D,4,0)</f>
        <v>0.27086882453151617</v>
      </c>
      <c r="E205" s="5">
        <f t="shared" si="3"/>
        <v>5.4888858603066435</v>
      </c>
      <c r="F205" s="5" cm="1">
        <f t="array" ref="F205">_xlfn.IFS(
    AND(C205&gt;C$535,D205&lt;D$535),1,
    AND(C205&gt;C$535,D205&gt;D$535),2,
    AND(C205&lt;C$535,D205&lt;D$535),4,
    AND(C205&lt;C$535,D205&gt;D$535),3,
    TRUE,""
)</f>
        <v>2</v>
      </c>
    </row>
    <row r="206" spans="1:6" x14ac:dyDescent="0.35">
      <c r="A206" s="1" t="s">
        <v>507</v>
      </c>
      <c r="B206" s="2">
        <v>59275</v>
      </c>
      <c r="C206" s="2">
        <v>198109</v>
      </c>
      <c r="D206" s="5">
        <f>+VLOOKUP(A206,Sheet6!A:D,4,0)</f>
        <v>0.26987951807228916</v>
      </c>
      <c r="E206" s="5">
        <f t="shared" si="3"/>
        <v>15.99710843373494</v>
      </c>
      <c r="F206" s="5" cm="1">
        <f t="array" ref="F206">_xlfn.IFS(
    AND(C206&gt;C$535,D206&lt;D$535),1,
    AND(C206&gt;C$535,D206&gt;D$535),2,
    AND(C206&lt;C$535,D206&lt;D$535),4,
    AND(C206&lt;C$535,D206&gt;D$535),3,
    TRUE,""
)</f>
        <v>3</v>
      </c>
    </row>
    <row r="207" spans="1:6" x14ac:dyDescent="0.35">
      <c r="A207" s="1" t="s">
        <v>361</v>
      </c>
      <c r="B207" s="2">
        <v>9159</v>
      </c>
      <c r="C207" s="1">
        <v>202.21</v>
      </c>
      <c r="D207" s="5">
        <f>+VLOOKUP(A207,Sheet6!A:D,4,0)</f>
        <v>0.26973684210526316</v>
      </c>
      <c r="E207" s="5">
        <f t="shared" si="3"/>
        <v>2.4705197368421055</v>
      </c>
      <c r="F207" s="5" cm="1">
        <f t="array" ref="F207">_xlfn.IFS(
    AND(C207&gt;C$535,D207&lt;D$535),1,
    AND(C207&gt;C$535,D207&gt;D$535),2,
    AND(C207&lt;C$535,D207&lt;D$535),4,
    AND(C207&lt;C$535,D207&gt;D$535),3,
    TRUE,""
)</f>
        <v>3</v>
      </c>
    </row>
    <row r="208" spans="1:6" x14ac:dyDescent="0.35">
      <c r="A208" s="1" t="s">
        <v>121</v>
      </c>
      <c r="B208" s="2">
        <v>18635</v>
      </c>
      <c r="C208" s="2">
        <v>284139</v>
      </c>
      <c r="D208" s="5">
        <f>+VLOOKUP(A208,Sheet6!A:D,4,0)</f>
        <v>0.26956521739130435</v>
      </c>
      <c r="E208" s="5">
        <f t="shared" si="3"/>
        <v>5.0233478260869564</v>
      </c>
      <c r="F208" s="5" cm="1">
        <f t="array" ref="F208">_xlfn.IFS(
    AND(C208&gt;C$535,D208&lt;D$535),1,
    AND(C208&gt;C$535,D208&gt;D$535),2,
    AND(C208&lt;C$535,D208&lt;D$535),4,
    AND(C208&lt;C$535,D208&gt;D$535),3,
    TRUE,""
)</f>
        <v>2</v>
      </c>
    </row>
    <row r="209" spans="1:6" x14ac:dyDescent="0.35">
      <c r="A209" s="1" t="s">
        <v>298</v>
      </c>
      <c r="B209" s="2">
        <v>2882</v>
      </c>
      <c r="C209" s="2">
        <v>122133</v>
      </c>
      <c r="D209" s="5">
        <f>+VLOOKUP(A209,Sheet6!A:D,4,0)</f>
        <v>0.26923076923076927</v>
      </c>
      <c r="E209" s="5">
        <f t="shared" si="3"/>
        <v>0.77592307692307705</v>
      </c>
      <c r="F209" s="5" cm="1">
        <f t="array" ref="F209">_xlfn.IFS(
    AND(C209&gt;C$535,D209&lt;D$535),1,
    AND(C209&gt;C$535,D209&gt;D$535),2,
    AND(C209&lt;C$535,D209&lt;D$535),4,
    AND(C209&lt;C$535,D209&gt;D$535),3,
    TRUE,""
)</f>
        <v>3</v>
      </c>
    </row>
    <row r="210" spans="1:6" x14ac:dyDescent="0.35">
      <c r="A210" s="1" t="s">
        <v>437</v>
      </c>
      <c r="B210" s="2">
        <v>2595</v>
      </c>
      <c r="C210" s="1">
        <v>166.46</v>
      </c>
      <c r="D210" s="5">
        <f>+VLOOKUP(A210,Sheet6!A:D,4,0)</f>
        <v>0.26865671641791045</v>
      </c>
      <c r="E210" s="5">
        <f t="shared" si="3"/>
        <v>0.69716417910447759</v>
      </c>
      <c r="F210" s="5" cm="1">
        <f t="array" ref="F210">_xlfn.IFS(
    AND(C210&gt;C$535,D210&lt;D$535),1,
    AND(C210&gt;C$535,D210&gt;D$535),2,
    AND(C210&lt;C$535,D210&lt;D$535),4,
    AND(C210&lt;C$535,D210&gt;D$535),3,
    TRUE,""
)</f>
        <v>3</v>
      </c>
    </row>
    <row r="211" spans="1:6" x14ac:dyDescent="0.35">
      <c r="A211" s="1" t="s">
        <v>481</v>
      </c>
      <c r="B211" s="2">
        <v>59479</v>
      </c>
      <c r="C211" s="1">
        <v>142.19999999999999</v>
      </c>
      <c r="D211" s="5">
        <f>+VLOOKUP(A211,Sheet6!A:D,4,0)</f>
        <v>0.26840490797546013</v>
      </c>
      <c r="E211" s="5">
        <f t="shared" si="3"/>
        <v>15.964455521472393</v>
      </c>
      <c r="F211" s="5" cm="1">
        <f t="array" ref="F211">_xlfn.IFS(
    AND(C211&gt;C$535,D211&lt;D$535),1,
    AND(C211&gt;C$535,D211&gt;D$535),2,
    AND(C211&lt;C$535,D211&lt;D$535),4,
    AND(C211&lt;C$535,D211&gt;D$535),3,
    TRUE,""
)</f>
        <v>3</v>
      </c>
    </row>
    <row r="212" spans="1:6" x14ac:dyDescent="0.35">
      <c r="A212" s="1" t="s">
        <v>236</v>
      </c>
      <c r="B212" s="2">
        <v>42342</v>
      </c>
      <c r="C212" s="2">
        <v>264182</v>
      </c>
      <c r="D212" s="5">
        <f>+VLOOKUP(A212,Sheet6!A:D,4,0)</f>
        <v>0.26791808873720135</v>
      </c>
      <c r="E212" s="5">
        <f t="shared" si="3"/>
        <v>11.344187713310578</v>
      </c>
      <c r="F212" s="5" cm="1">
        <f t="array" ref="F212">_xlfn.IFS(
    AND(C212&gt;C$535,D212&lt;D$535),1,
    AND(C212&gt;C$535,D212&gt;D$535),2,
    AND(C212&lt;C$535,D212&lt;D$535),4,
    AND(C212&lt;C$535,D212&gt;D$535),3,
    TRUE,""
)</f>
        <v>2</v>
      </c>
    </row>
    <row r="213" spans="1:6" x14ac:dyDescent="0.35">
      <c r="A213" s="1" t="s">
        <v>68</v>
      </c>
      <c r="B213" s="2">
        <v>7059</v>
      </c>
      <c r="C213" s="2">
        <v>309128</v>
      </c>
      <c r="D213" s="5">
        <f>+VLOOKUP(A213,Sheet6!A:D,4,0)</f>
        <v>0.26744186046511625</v>
      </c>
      <c r="E213" s="5">
        <f t="shared" si="3"/>
        <v>1.8878720930232558</v>
      </c>
      <c r="F213" s="5" cm="1">
        <f t="array" ref="F213">_xlfn.IFS(
    AND(C213&gt;C$535,D213&lt;D$535),1,
    AND(C213&gt;C$535,D213&gt;D$535),2,
    AND(C213&lt;C$535,D213&lt;D$535),4,
    AND(C213&lt;C$535,D213&gt;D$535),3,
    TRUE,""
)</f>
        <v>2</v>
      </c>
    </row>
    <row r="214" spans="1:6" x14ac:dyDescent="0.35">
      <c r="A214" s="1" t="s">
        <v>348</v>
      </c>
      <c r="B214" s="2">
        <v>72487</v>
      </c>
      <c r="C214" s="2">
        <v>272006</v>
      </c>
      <c r="D214" s="5">
        <f>+VLOOKUP(A214,Sheet6!A:D,4,0)</f>
        <v>0.26652452025586354</v>
      </c>
      <c r="E214" s="5">
        <f t="shared" si="3"/>
        <v>19.319562899786778</v>
      </c>
      <c r="F214" s="5" cm="1">
        <f t="array" ref="F214">_xlfn.IFS(
    AND(C214&gt;C$535,D214&lt;D$535),1,
    AND(C214&gt;C$535,D214&gt;D$535),2,
    AND(C214&lt;C$535,D214&lt;D$535),4,
    AND(C214&lt;C$535,D214&gt;D$535),3,
    TRUE,""
)</f>
        <v>2</v>
      </c>
    </row>
    <row r="215" spans="1:6" x14ac:dyDescent="0.35">
      <c r="A215" s="1" t="s">
        <v>85</v>
      </c>
      <c r="B215" s="2">
        <v>7849</v>
      </c>
      <c r="C215" s="2">
        <v>214167</v>
      </c>
      <c r="D215" s="5">
        <f>+VLOOKUP(A215,Sheet6!A:D,4,0)</f>
        <v>0.26642335766423353</v>
      </c>
      <c r="E215" s="5">
        <f t="shared" si="3"/>
        <v>2.0911569343065688</v>
      </c>
      <c r="F215" s="5" cm="1">
        <f t="array" ref="F215">_xlfn.IFS(
    AND(C215&gt;C$535,D215&lt;D$535),1,
    AND(C215&gt;C$535,D215&gt;D$535),2,
    AND(C215&lt;C$535,D215&lt;D$535),4,
    AND(C215&lt;C$535,D215&gt;D$535),3,
    TRUE,""
)</f>
        <v>2</v>
      </c>
    </row>
    <row r="216" spans="1:6" x14ac:dyDescent="0.35">
      <c r="A216" s="1" t="s">
        <v>354</v>
      </c>
      <c r="B216" s="2">
        <v>61305</v>
      </c>
      <c r="C216" s="2">
        <v>290956</v>
      </c>
      <c r="D216" s="5">
        <f>+VLOOKUP(A216,Sheet6!A:D,4,0)</f>
        <v>0.26492287055667341</v>
      </c>
      <c r="E216" s="5">
        <f t="shared" si="3"/>
        <v>16.241096579476864</v>
      </c>
      <c r="F216" s="5" cm="1">
        <f t="array" ref="F216">_xlfn.IFS(
    AND(C216&gt;C$535,D216&lt;D$535),1,
    AND(C216&gt;C$535,D216&gt;D$535),2,
    AND(C216&lt;C$535,D216&lt;D$535),4,
    AND(C216&lt;C$535,D216&gt;D$535),3,
    TRUE,""
)</f>
        <v>2</v>
      </c>
    </row>
    <row r="217" spans="1:6" x14ac:dyDescent="0.35">
      <c r="A217" s="1" t="s">
        <v>134</v>
      </c>
      <c r="B217" s="2">
        <v>24875</v>
      </c>
      <c r="C217" s="2">
        <v>305529</v>
      </c>
      <c r="D217" s="5">
        <f>+VLOOKUP(A217,Sheet6!A:D,4,0)</f>
        <v>0.26426426426426425</v>
      </c>
      <c r="E217" s="5">
        <f t="shared" si="3"/>
        <v>6.5735735735735732</v>
      </c>
      <c r="F217" s="5" cm="1">
        <f t="array" ref="F217">_xlfn.IFS(
    AND(C217&gt;C$535,D217&lt;D$535),1,
    AND(C217&gt;C$535,D217&gt;D$535),2,
    AND(C217&lt;C$535,D217&lt;D$535),4,
    AND(C217&lt;C$535,D217&gt;D$535),3,
    TRUE,""
)</f>
        <v>2</v>
      </c>
    </row>
    <row r="218" spans="1:6" x14ac:dyDescent="0.35">
      <c r="A218" s="1" t="s">
        <v>347</v>
      </c>
      <c r="B218" s="2">
        <v>12216</v>
      </c>
      <c r="C218" s="2">
        <v>286599</v>
      </c>
      <c r="D218" s="5">
        <f>+VLOOKUP(A218,Sheet6!A:D,4,0)</f>
        <v>0.26380368098159512</v>
      </c>
      <c r="E218" s="5">
        <f t="shared" si="3"/>
        <v>3.222625766871166</v>
      </c>
      <c r="F218" s="5" cm="1">
        <f t="array" ref="F218">_xlfn.IFS(
    AND(C218&gt;C$535,D218&lt;D$535),1,
    AND(C218&gt;C$535,D218&gt;D$535),2,
    AND(C218&lt;C$535,D218&lt;D$535),4,
    AND(C218&lt;C$535,D218&gt;D$535),3,
    TRUE,""
)</f>
        <v>2</v>
      </c>
    </row>
    <row r="219" spans="1:6" x14ac:dyDescent="0.35">
      <c r="A219" s="1" t="s">
        <v>166</v>
      </c>
      <c r="B219" s="2">
        <v>67966</v>
      </c>
      <c r="C219" s="2">
        <v>275875</v>
      </c>
      <c r="D219" s="5">
        <f>+VLOOKUP(A219,Sheet6!A:D,4,0)</f>
        <v>0.26322839919624919</v>
      </c>
      <c r="E219" s="5">
        <f t="shared" si="3"/>
        <v>17.890581379772271</v>
      </c>
      <c r="F219" s="5" cm="1">
        <f t="array" ref="F219">_xlfn.IFS(
    AND(C219&gt;C$535,D219&lt;D$535),1,
    AND(C219&gt;C$535,D219&gt;D$535),2,
    AND(C219&lt;C$535,D219&lt;D$535),4,
    AND(C219&lt;C$535,D219&gt;D$535),3,
    TRUE,""
)</f>
        <v>2</v>
      </c>
    </row>
    <row r="220" spans="1:6" x14ac:dyDescent="0.35">
      <c r="A220" s="1" t="s">
        <v>220</v>
      </c>
      <c r="B220" s="2">
        <v>4409</v>
      </c>
      <c r="C220" s="2">
        <v>225013</v>
      </c>
      <c r="D220" s="5">
        <f>+VLOOKUP(A220,Sheet6!A:D,4,0)</f>
        <v>0.26315789473684209</v>
      </c>
      <c r="E220" s="5">
        <f t="shared" si="3"/>
        <v>1.1602631578947369</v>
      </c>
      <c r="F220" s="5" cm="1">
        <f t="array" ref="F220">_xlfn.IFS(
    AND(C220&gt;C$535,D220&lt;D$535),1,
    AND(C220&gt;C$535,D220&gt;D$535),2,
    AND(C220&lt;C$535,D220&lt;D$535),4,
    AND(C220&lt;C$535,D220&gt;D$535),3,
    TRUE,""
)</f>
        <v>2</v>
      </c>
    </row>
    <row r="221" spans="1:6" x14ac:dyDescent="0.35">
      <c r="A221" s="1" t="s">
        <v>401</v>
      </c>
      <c r="B221" s="2">
        <v>5337</v>
      </c>
      <c r="C221" s="2">
        <v>225798</v>
      </c>
      <c r="D221" s="5">
        <f>+VLOOKUP(A221,Sheet6!A:D,4,0)</f>
        <v>0.26315789473684209</v>
      </c>
      <c r="E221" s="5">
        <f t="shared" si="3"/>
        <v>1.4044736842105263</v>
      </c>
      <c r="F221" s="5" cm="1">
        <f t="array" ref="F221">_xlfn.IFS(
    AND(C221&gt;C$535,D221&lt;D$535),1,
    AND(C221&gt;C$535,D221&gt;D$535),2,
    AND(C221&lt;C$535,D221&lt;D$535),4,
    AND(C221&lt;C$535,D221&gt;D$535),3,
    TRUE,""
)</f>
        <v>2</v>
      </c>
    </row>
    <row r="222" spans="1:6" x14ac:dyDescent="0.35">
      <c r="A222" s="1" t="s">
        <v>0</v>
      </c>
      <c r="B222" s="2">
        <v>6299</v>
      </c>
      <c r="C222" s="2">
        <v>468152</v>
      </c>
      <c r="D222" s="5">
        <f>+VLOOKUP(A222,Sheet6!A:D,4,0)</f>
        <v>0.26315789473684209</v>
      </c>
      <c r="E222" s="5">
        <f t="shared" si="3"/>
        <v>1.6576315789473683</v>
      </c>
      <c r="F222" s="5" cm="1">
        <f t="array" ref="F222">_xlfn.IFS(
    AND(C222&gt;C$535,D222&lt;D$535),1,
    AND(C222&gt;C$535,D222&gt;D$535),2,
    AND(C222&lt;C$535,D222&lt;D$535),4,
    AND(C222&lt;C$535,D222&gt;D$535),3,
    TRUE,""
)</f>
        <v>2</v>
      </c>
    </row>
    <row r="223" spans="1:6" x14ac:dyDescent="0.35">
      <c r="A223" s="1" t="s">
        <v>51</v>
      </c>
      <c r="B223" s="2">
        <v>29145</v>
      </c>
      <c r="C223" s="2">
        <v>332309</v>
      </c>
      <c r="D223" s="5">
        <f>+VLOOKUP(A223,Sheet6!A:D,4,0)</f>
        <v>0.26266416510318946</v>
      </c>
      <c r="E223" s="5">
        <f t="shared" si="3"/>
        <v>7.6553470919324571</v>
      </c>
      <c r="F223" s="5" cm="1">
        <f t="array" ref="F223">_xlfn.IFS(
    AND(C223&gt;C$535,D223&lt;D$535),1,
    AND(C223&gt;C$535,D223&gt;D$535),2,
    AND(C223&lt;C$535,D223&lt;D$535),4,
    AND(C223&lt;C$535,D223&gt;D$535),3,
    TRUE,""
)</f>
        <v>2</v>
      </c>
    </row>
    <row r="224" spans="1:6" x14ac:dyDescent="0.35">
      <c r="A224" s="1" t="s">
        <v>336</v>
      </c>
      <c r="B224" s="2">
        <v>65814</v>
      </c>
      <c r="C224" s="2">
        <v>194487</v>
      </c>
      <c r="D224" s="5">
        <f>+VLOOKUP(A224,Sheet6!A:D,4,0)</f>
        <v>0.26185958254269448</v>
      </c>
      <c r="E224" s="5">
        <f t="shared" si="3"/>
        <v>17.234026565464895</v>
      </c>
      <c r="F224" s="5" cm="1">
        <f t="array" ref="F224">_xlfn.IFS(
    AND(C224&gt;C$535,D224&lt;D$535),1,
    AND(C224&gt;C$535,D224&gt;D$535),2,
    AND(C224&lt;C$535,D224&lt;D$535),4,
    AND(C224&lt;C$535,D224&gt;D$535),3,
    TRUE,""
)</f>
        <v>3</v>
      </c>
    </row>
    <row r="225" spans="1:6" x14ac:dyDescent="0.35">
      <c r="A225" s="1" t="s">
        <v>335</v>
      </c>
      <c r="B225" s="1">
        <v>46.7</v>
      </c>
      <c r="C225" s="2">
        <v>281903</v>
      </c>
      <c r="D225" s="5">
        <f>+VLOOKUP(A225,Sheet6!A:D,4,0)</f>
        <v>0.26135216952573159</v>
      </c>
      <c r="E225" s="5">
        <f t="shared" si="3"/>
        <v>1.2205146316851666E-2</v>
      </c>
      <c r="F225" s="5" cm="1">
        <f t="array" ref="F225">_xlfn.IFS(
    AND(C225&gt;C$535,D225&lt;D$535),1,
    AND(C225&gt;C$535,D225&gt;D$535),2,
    AND(C225&lt;C$535,D225&lt;D$535),4,
    AND(C225&lt;C$535,D225&gt;D$535),3,
    TRUE,""
)</f>
        <v>2</v>
      </c>
    </row>
    <row r="226" spans="1:6" x14ac:dyDescent="0.35">
      <c r="A226" s="1" t="s">
        <v>190</v>
      </c>
      <c r="B226" s="2">
        <v>73887</v>
      </c>
      <c r="C226" s="2">
        <v>343307</v>
      </c>
      <c r="D226" s="5">
        <f>+VLOOKUP(A226,Sheet6!A:D,4,0)</f>
        <v>0.26111111111111113</v>
      </c>
      <c r="E226" s="5">
        <f t="shared" si="3"/>
        <v>19.292716666666667</v>
      </c>
      <c r="F226" s="5" cm="1">
        <f t="array" ref="F226">_xlfn.IFS(
    AND(C226&gt;C$535,D226&lt;D$535),1,
    AND(C226&gt;C$535,D226&gt;D$535),2,
    AND(C226&lt;C$535,D226&lt;D$535),4,
    AND(C226&lt;C$535,D226&gt;D$535),3,
    TRUE,""
)</f>
        <v>2</v>
      </c>
    </row>
    <row r="227" spans="1:6" x14ac:dyDescent="0.35">
      <c r="A227" s="1" t="s">
        <v>12</v>
      </c>
      <c r="B227" s="2">
        <v>23955</v>
      </c>
      <c r="C227" s="2">
        <v>263202</v>
      </c>
      <c r="D227" s="5">
        <f>+VLOOKUP(A227,Sheet6!A:D,4,0)</f>
        <v>0.25964912280701752</v>
      </c>
      <c r="E227" s="5">
        <f t="shared" si="3"/>
        <v>6.2198947368421047</v>
      </c>
      <c r="F227" s="5" cm="1">
        <f t="array" ref="F227">_xlfn.IFS(
    AND(C227&gt;C$535,D227&lt;D$535),1,
    AND(C227&gt;C$535,D227&gt;D$535),2,
    AND(C227&lt;C$535,D227&lt;D$535),4,
    AND(C227&lt;C$535,D227&gt;D$535),3,
    TRUE,""
)</f>
        <v>2</v>
      </c>
    </row>
    <row r="228" spans="1:6" x14ac:dyDescent="0.35">
      <c r="A228" s="1" t="s">
        <v>523</v>
      </c>
      <c r="B228" s="2">
        <v>6928</v>
      </c>
      <c r="C228" s="2">
        <v>215513</v>
      </c>
      <c r="D228" s="5">
        <f>+VLOOKUP(A228,Sheet6!A:D,4,0)</f>
        <v>0.25878594249201281</v>
      </c>
      <c r="E228" s="5">
        <f t="shared" si="3"/>
        <v>1.7928690095846649</v>
      </c>
      <c r="F228" s="5" cm="1">
        <f t="array" ref="F228">_xlfn.IFS(
    AND(C228&gt;C$535,D228&lt;D$535),1,
    AND(C228&gt;C$535,D228&gt;D$535),2,
    AND(C228&lt;C$535,D228&lt;D$535),4,
    AND(C228&lt;C$535,D228&gt;D$535),3,
    TRUE,""
)</f>
        <v>2</v>
      </c>
    </row>
    <row r="229" spans="1:6" x14ac:dyDescent="0.35">
      <c r="A229" s="1" t="s">
        <v>370</v>
      </c>
      <c r="B229" s="2">
        <v>7196</v>
      </c>
      <c r="C229" s="2">
        <v>170656</v>
      </c>
      <c r="D229" s="5">
        <f>+VLOOKUP(A229,Sheet6!A:D,4,0)</f>
        <v>0.25853658536585372</v>
      </c>
      <c r="E229" s="5">
        <f t="shared" si="3"/>
        <v>1.8604292682926835</v>
      </c>
      <c r="F229" s="5" cm="1">
        <f t="array" ref="F229">_xlfn.IFS(
    AND(C229&gt;C$535,D229&lt;D$535),1,
    AND(C229&gt;C$535,D229&gt;D$535),2,
    AND(C229&lt;C$535,D229&lt;D$535),4,
    AND(C229&lt;C$535,D229&gt;D$535),3,
    TRUE,""
)</f>
        <v>3</v>
      </c>
    </row>
    <row r="230" spans="1:6" x14ac:dyDescent="0.35">
      <c r="A230" s="1" t="s">
        <v>8</v>
      </c>
      <c r="B230" s="2">
        <v>19689</v>
      </c>
      <c r="C230" s="2">
        <v>272182</v>
      </c>
      <c r="D230" s="5">
        <f>+VLOOKUP(A230,Sheet6!A:D,4,0)</f>
        <v>0.25719424460431656</v>
      </c>
      <c r="E230" s="5">
        <f t="shared" si="3"/>
        <v>5.0638974820143883</v>
      </c>
      <c r="F230" s="5" cm="1">
        <f t="array" ref="F230">_xlfn.IFS(
    AND(C230&gt;C$535,D230&lt;D$535),1,
    AND(C230&gt;C$535,D230&gt;D$535),2,
    AND(C230&lt;C$535,D230&lt;D$535),4,
    AND(C230&lt;C$535,D230&gt;D$535),3,
    TRUE,""
)</f>
        <v>2</v>
      </c>
    </row>
    <row r="231" spans="1:6" x14ac:dyDescent="0.35">
      <c r="A231" s="1" t="s">
        <v>237</v>
      </c>
      <c r="B231" s="2">
        <v>5478</v>
      </c>
      <c r="C231" s="2">
        <v>219597</v>
      </c>
      <c r="D231" s="5">
        <f>+VLOOKUP(A231,Sheet6!A:D,4,0)</f>
        <v>0.25698324022346369</v>
      </c>
      <c r="E231" s="5">
        <f t="shared" si="3"/>
        <v>1.4077541899441341</v>
      </c>
      <c r="F231" s="5" cm="1">
        <f t="array" ref="F231">_xlfn.IFS(
    AND(C231&gt;C$535,D231&lt;D$535),1,
    AND(C231&gt;C$535,D231&gt;D$535),2,
    AND(C231&lt;C$535,D231&lt;D$535),4,
    AND(C231&lt;C$535,D231&gt;D$535),3,
    TRUE,""
)</f>
        <v>2</v>
      </c>
    </row>
    <row r="232" spans="1:6" x14ac:dyDescent="0.35">
      <c r="A232" s="5"/>
      <c r="B232" s="5"/>
      <c r="C232" s="5"/>
      <c r="D232" s="27">
        <v>0.25659999999999999</v>
      </c>
      <c r="E232" s="27">
        <v>50000</v>
      </c>
      <c r="F232" s="5">
        <f ca="1">COUNTIF(F$2:F$534,1)</f>
        <v>198</v>
      </c>
    </row>
    <row r="233" spans="1:6" x14ac:dyDescent="0.35">
      <c r="A233" s="5"/>
      <c r="B233" s="5"/>
      <c r="C233" s="5"/>
      <c r="D233" s="27">
        <v>0.25659999999999999</v>
      </c>
      <c r="E233" s="27">
        <v>450000</v>
      </c>
      <c r="F233" s="5">
        <f ca="1">COUNTIF(F$2:F$534,2)</f>
        <v>115</v>
      </c>
    </row>
    <row r="234" spans="1:6" x14ac:dyDescent="0.35">
      <c r="A234" s="3" t="s">
        <v>572</v>
      </c>
      <c r="B234" s="14">
        <f>AVERAGE(B1:B233)</f>
        <v>20204.559078947372</v>
      </c>
      <c r="C234" s="14">
        <f>AVERAGE(C1:C233)</f>
        <v>222327.37175438597</v>
      </c>
      <c r="D234" s="16">
        <f>AVERAGE(D1:D233)</f>
        <v>1821.4521247212886</v>
      </c>
      <c r="E234" s="14">
        <f>AVERAGE(E1:E233)</f>
        <v>2161.9179162004361</v>
      </c>
      <c r="F234" s="5"/>
    </row>
    <row r="235" spans="1:6" x14ac:dyDescent="0.35">
      <c r="A235" s="1" t="s">
        <v>156</v>
      </c>
      <c r="B235" s="2">
        <v>38879</v>
      </c>
      <c r="C235" s="2">
        <v>261243</v>
      </c>
      <c r="D235" s="5">
        <f>+VLOOKUP(A235,Sheet6!A:D,4,0)</f>
        <v>0.25615314494074748</v>
      </c>
      <c r="E235" s="5">
        <f t="shared" ref="E235:E298" si="4">(B235*D235)/1000</f>
        <v>9.9589781221513203</v>
      </c>
      <c r="F235" s="5" cm="1">
        <f t="array" ref="F235">_xlfn.IFS(
    AND(C235&gt;C$535,D235&lt;D$535),1,
    AND(C235&gt;C$535,D235&gt;D$535),2,
    AND(C235&lt;C$535,D235&lt;D$535),4,
    AND(C235&lt;C$535,D235&gt;D$535),3,
    TRUE,""
)</f>
        <v>2</v>
      </c>
    </row>
    <row r="236" spans="1:6" x14ac:dyDescent="0.35">
      <c r="A236" s="1" t="s">
        <v>340</v>
      </c>
      <c r="B236" s="2">
        <v>75967</v>
      </c>
      <c r="C236" s="2">
        <v>250465</v>
      </c>
      <c r="D236" s="5">
        <f>+VLOOKUP(A236,Sheet6!A:D,4,0)</f>
        <v>0.25566343042071199</v>
      </c>
      <c r="E236" s="5">
        <f t="shared" si="4"/>
        <v>19.421983818770226</v>
      </c>
      <c r="F236" s="5" cm="1">
        <f t="array" ref="F236">_xlfn.IFS(
    AND(C236&gt;C$535,D236&lt;D$535),1,
    AND(C236&gt;C$535,D236&gt;D$535),2,
    AND(C236&lt;C$535,D236&lt;D$535),4,
    AND(C236&lt;C$535,D236&gt;D$535),3,
    TRUE,""
)</f>
        <v>2</v>
      </c>
    </row>
    <row r="237" spans="1:6" x14ac:dyDescent="0.35">
      <c r="A237" s="1" t="s">
        <v>146</v>
      </c>
      <c r="B237" s="2">
        <v>18596</v>
      </c>
      <c r="C237" s="2">
        <v>211657</v>
      </c>
      <c r="D237" s="5">
        <f>+VLOOKUP(A237,Sheet6!A:D,4,0)</f>
        <v>0.2553763440860215</v>
      </c>
      <c r="E237" s="5">
        <f t="shared" si="4"/>
        <v>4.748978494623656</v>
      </c>
      <c r="F237" s="5" cm="1">
        <f t="array" ref="F237">_xlfn.IFS(
    AND(C237&gt;C$535,D237&lt;D$535),1,
    AND(C237&gt;C$535,D237&gt;D$535),2,
    AND(C237&lt;C$535,D237&lt;D$535),4,
    AND(C237&lt;C$535,D237&gt;D$535),3,
    TRUE,""
)</f>
        <v>2</v>
      </c>
    </row>
    <row r="238" spans="1:6" x14ac:dyDescent="0.35">
      <c r="A238" s="1" t="s">
        <v>525</v>
      </c>
      <c r="B238" s="2">
        <v>46083</v>
      </c>
      <c r="C238" s="2">
        <v>371722</v>
      </c>
      <c r="D238" s="5">
        <f>+VLOOKUP(A238,Sheet6!A:D,4,0)</f>
        <v>0.25488530161427359</v>
      </c>
      <c r="E238" s="5">
        <f t="shared" si="4"/>
        <v>11.745879354290569</v>
      </c>
      <c r="F238" s="5" cm="1">
        <f t="array" ref="F238">_xlfn.IFS(
    AND(C238&gt;C$535,D238&lt;D$535),1,
    AND(C238&gt;C$535,D238&gt;D$535),2,
    AND(C238&lt;C$535,D238&lt;D$535),4,
    AND(C238&lt;C$535,D238&gt;D$535),3,
    TRUE,""
)</f>
        <v>2</v>
      </c>
    </row>
    <row r="239" spans="1:6" x14ac:dyDescent="0.35">
      <c r="A239" s="1" t="s">
        <v>63</v>
      </c>
      <c r="B239" s="1">
        <v>28.87</v>
      </c>
      <c r="C239" s="2">
        <v>250227</v>
      </c>
      <c r="D239" s="5">
        <f>+VLOOKUP(A239,Sheet6!A:D,4,0)</f>
        <v>0.25341614906832294</v>
      </c>
      <c r="E239" s="5">
        <f t="shared" si="4"/>
        <v>7.3161242236024831E-3</v>
      </c>
      <c r="F239" s="5" cm="1">
        <f t="array" ref="F239">_xlfn.IFS(
    AND(C239&gt;C$535,D239&lt;D$535),1,
    AND(C239&gt;C$535,D239&gt;D$535),2,
    AND(C239&lt;C$535,D239&lt;D$535),4,
    AND(C239&lt;C$535,D239&gt;D$535),3,
    TRUE,""
)</f>
        <v>2</v>
      </c>
    </row>
    <row r="240" spans="1:6" x14ac:dyDescent="0.35">
      <c r="A240" s="1" t="s">
        <v>423</v>
      </c>
      <c r="B240" s="2">
        <v>7183</v>
      </c>
      <c r="C240" s="2">
        <v>173188</v>
      </c>
      <c r="D240" s="5">
        <f>+VLOOKUP(A240,Sheet6!A:D,4,0)</f>
        <v>0.25301204819277107</v>
      </c>
      <c r="E240" s="5">
        <f t="shared" si="4"/>
        <v>1.8173855421686747</v>
      </c>
      <c r="F240" s="5" cm="1">
        <f t="array" ref="F240">_xlfn.IFS(
    AND(C240&gt;C$535,D240&lt;D$535),1,
    AND(C240&gt;C$535,D240&gt;D$535),2,
    AND(C240&lt;C$535,D240&lt;D$535),4,
    AND(C240&lt;C$535,D240&gt;D$535),3,
    TRUE,""
)</f>
        <v>3</v>
      </c>
    </row>
    <row r="241" spans="1:6" x14ac:dyDescent="0.35">
      <c r="A241" s="1" t="s">
        <v>242</v>
      </c>
      <c r="B241" s="2">
        <v>6935</v>
      </c>
      <c r="C241" s="2">
        <v>140297</v>
      </c>
      <c r="D241" s="5">
        <f>+VLOOKUP(A241,Sheet6!A:D,4,0)</f>
        <v>0.25257731958762886</v>
      </c>
      <c r="E241" s="5">
        <f t="shared" si="4"/>
        <v>1.7516237113402062</v>
      </c>
      <c r="F241" s="5" cm="1">
        <f t="array" ref="F241">_xlfn.IFS(
    AND(C241&gt;C$535,D241&lt;D$535),1,
    AND(C241&gt;C$535,D241&gt;D$535),2,
    AND(C241&lt;C$535,D241&lt;D$535),4,
    AND(C241&lt;C$535,D241&gt;D$535),3,
    TRUE,""
)</f>
        <v>3</v>
      </c>
    </row>
    <row r="242" spans="1:6" x14ac:dyDescent="0.35">
      <c r="A242" s="1" t="s">
        <v>219</v>
      </c>
      <c r="B242" s="2">
        <v>57875</v>
      </c>
      <c r="C242" s="2">
        <v>268977</v>
      </c>
      <c r="D242" s="5">
        <f>+VLOOKUP(A242,Sheet6!A:D,4,0)</f>
        <v>0.25247524752475248</v>
      </c>
      <c r="E242" s="5">
        <f t="shared" si="4"/>
        <v>14.612004950495049</v>
      </c>
      <c r="F242" s="5" cm="1">
        <f t="array" ref="F242">_xlfn.IFS(
    AND(C242&gt;C$535,D242&lt;D$535),1,
    AND(C242&gt;C$535,D242&gt;D$535),2,
    AND(C242&lt;C$535,D242&lt;D$535),4,
    AND(C242&lt;C$535,D242&gt;D$535),3,
    TRUE,""
)</f>
        <v>2</v>
      </c>
    </row>
    <row r="243" spans="1:6" x14ac:dyDescent="0.35">
      <c r="A243" s="1" t="s">
        <v>424</v>
      </c>
      <c r="B243" s="2">
        <v>42125</v>
      </c>
      <c r="C243" s="1">
        <v>229.41</v>
      </c>
      <c r="D243" s="5">
        <f>+VLOOKUP(A243,Sheet6!A:D,4,0)</f>
        <v>0.25168236877523553</v>
      </c>
      <c r="E243" s="5">
        <f t="shared" si="4"/>
        <v>10.602119784656798</v>
      </c>
      <c r="F243" s="5" cm="1">
        <f t="array" ref="F243">_xlfn.IFS(
    AND(C243&gt;C$535,D243&lt;D$535),1,
    AND(C243&gt;C$535,D243&gt;D$535),2,
    AND(C243&lt;C$535,D243&lt;D$535),4,
    AND(C243&lt;C$535,D243&gt;D$535),3,
    TRUE,""
)</f>
        <v>3</v>
      </c>
    </row>
    <row r="244" spans="1:6" x14ac:dyDescent="0.35">
      <c r="A244" s="1" t="s">
        <v>239</v>
      </c>
      <c r="B244" s="2">
        <v>30402</v>
      </c>
      <c r="C244" s="2">
        <v>287157</v>
      </c>
      <c r="D244" s="5">
        <f>+VLOOKUP(A244,Sheet6!A:D,4,0)</f>
        <v>0.25149700598802399</v>
      </c>
      <c r="E244" s="5">
        <f t="shared" si="4"/>
        <v>7.6460119760479053</v>
      </c>
      <c r="F244" s="5" cm="1">
        <f t="array" ref="F244">_xlfn.IFS(
    AND(C244&gt;C$535,D244&lt;D$535),1,
    AND(C244&gt;C$535,D244&gt;D$535),2,
    AND(C244&lt;C$535,D244&lt;D$535),4,
    AND(C244&lt;C$535,D244&gt;D$535),3,
    TRUE,""
)</f>
        <v>2</v>
      </c>
    </row>
    <row r="245" spans="1:6" x14ac:dyDescent="0.35">
      <c r="A245" s="1" t="s">
        <v>199</v>
      </c>
      <c r="B245" s="2">
        <v>31697</v>
      </c>
      <c r="C245" s="2">
        <v>438621</v>
      </c>
      <c r="D245" s="5">
        <f>+VLOOKUP(A245,Sheet6!A:D,4,0)</f>
        <v>0.25125628140703521</v>
      </c>
      <c r="E245" s="5">
        <f t="shared" si="4"/>
        <v>7.964070351758795</v>
      </c>
      <c r="F245" s="5" cm="1">
        <f t="array" ref="F245">_xlfn.IFS(
    AND(C245&gt;C$535,D245&lt;D$535),1,
    AND(C245&gt;C$535,D245&gt;D$535),2,
    AND(C245&lt;C$535,D245&lt;D$535),4,
    AND(C245&lt;C$535,D245&gt;D$535),3,
    TRUE,""
)</f>
        <v>2</v>
      </c>
    </row>
    <row r="246" spans="1:6" x14ac:dyDescent="0.35">
      <c r="A246" s="1" t="s">
        <v>291</v>
      </c>
      <c r="B246" s="1">
        <v>2.79</v>
      </c>
      <c r="C246" s="2">
        <v>112894</v>
      </c>
      <c r="D246" s="5">
        <f>+VLOOKUP(A246,Sheet6!A:D,4,0)</f>
        <v>0.25</v>
      </c>
      <c r="E246" s="5">
        <f t="shared" si="4"/>
        <v>6.9749999999999999E-4</v>
      </c>
      <c r="F246" s="5" cm="1">
        <f t="array" ref="F246">_xlfn.IFS(
    AND(C246&gt;C$535,D246&lt;D$535),1,
    AND(C246&gt;C$535,D246&gt;D$535),2,
    AND(C246&lt;C$535,D246&lt;D$535),4,
    AND(C246&lt;C$535,D246&gt;D$535),3,
    TRUE,""
)</f>
        <v>3</v>
      </c>
    </row>
    <row r="247" spans="1:6" x14ac:dyDescent="0.35">
      <c r="A247" s="1" t="s">
        <v>333</v>
      </c>
      <c r="B247" s="2">
        <v>22285</v>
      </c>
      <c r="C247" s="2">
        <v>210094</v>
      </c>
      <c r="D247" s="5">
        <f>+VLOOKUP(A247,Sheet6!A:D,4,0)</f>
        <v>0.25</v>
      </c>
      <c r="E247" s="5">
        <f t="shared" si="4"/>
        <v>5.57125</v>
      </c>
      <c r="F247" s="5" cm="1">
        <f t="array" ref="F247">_xlfn.IFS(
    AND(C247&gt;C$535,D247&lt;D$535),1,
    AND(C247&gt;C$535,D247&gt;D$535),2,
    AND(C247&lt;C$535,D247&lt;D$535),4,
    AND(C247&lt;C$535,D247&gt;D$535),3,
    TRUE,""
)</f>
        <v>3</v>
      </c>
    </row>
    <row r="248" spans="1:6" x14ac:dyDescent="0.35">
      <c r="A248" s="1" t="s">
        <v>36</v>
      </c>
      <c r="B248" s="1">
        <v>21.43</v>
      </c>
      <c r="C248" s="2">
        <v>297753</v>
      </c>
      <c r="D248" s="5">
        <f>+VLOOKUP(A248,Sheet6!A:D,4,0)</f>
        <v>0.25</v>
      </c>
      <c r="E248" s="5">
        <f t="shared" si="4"/>
        <v>5.3575000000000003E-3</v>
      </c>
      <c r="F248" s="5" cm="1">
        <f t="array" ref="F248">_xlfn.IFS(
    AND(C248&gt;C$535,D248&lt;D$535),1,
    AND(C248&gt;C$535,D248&gt;D$535),2,
    AND(C248&lt;C$535,D248&lt;D$535),4,
    AND(C248&lt;C$535,D248&gt;D$535),3,
    TRUE,""
)</f>
        <v>2</v>
      </c>
    </row>
    <row r="249" spans="1:6" x14ac:dyDescent="0.35">
      <c r="A249" s="1" t="s">
        <v>476</v>
      </c>
      <c r="B249" s="2">
        <v>12055</v>
      </c>
      <c r="C249" s="2">
        <v>295639</v>
      </c>
      <c r="D249" s="5">
        <f>+VLOOKUP(A249,Sheet6!A:D,4,0)</f>
        <v>0.25</v>
      </c>
      <c r="E249" s="5">
        <f t="shared" si="4"/>
        <v>3.0137499999999999</v>
      </c>
      <c r="F249" s="5" cm="1">
        <f t="array" ref="F249">_xlfn.IFS(
    AND(C249&gt;C$535,D249&lt;D$535),1,
    AND(C249&gt;C$535,D249&gt;D$535),2,
    AND(C249&lt;C$535,D249&lt;D$535),4,
    AND(C249&lt;C$535,D249&gt;D$535),3,
    TRUE,""
)</f>
        <v>2</v>
      </c>
    </row>
    <row r="250" spans="1:6" x14ac:dyDescent="0.35">
      <c r="A250" s="1" t="s">
        <v>444</v>
      </c>
      <c r="B250" s="2">
        <v>68434</v>
      </c>
      <c r="C250" s="2">
        <v>312303</v>
      </c>
      <c r="D250" s="5">
        <f>+VLOOKUP(A250,Sheet6!A:D,4,0)</f>
        <v>0.24868189806678381</v>
      </c>
      <c r="E250" s="5">
        <f t="shared" si="4"/>
        <v>17.018297012302284</v>
      </c>
      <c r="F250" s="5" cm="1">
        <f t="array" ref="F250">_xlfn.IFS(
    AND(C250&gt;C$535,D250&lt;D$535),1,
    AND(C250&gt;C$535,D250&gt;D$535),2,
    AND(C250&lt;C$535,D250&lt;D$535),4,
    AND(C250&lt;C$535,D250&gt;D$535),3,
    TRUE,""
)</f>
        <v>2</v>
      </c>
    </row>
    <row r="251" spans="1:6" x14ac:dyDescent="0.35">
      <c r="A251" s="1" t="s">
        <v>373</v>
      </c>
      <c r="B251" s="2">
        <v>7118</v>
      </c>
      <c r="C251" s="2">
        <v>194846</v>
      </c>
      <c r="D251" s="5">
        <f>+VLOOKUP(A251,Sheet6!A:D,4,0)</f>
        <v>0.24817518248175183</v>
      </c>
      <c r="E251" s="5">
        <f t="shared" si="4"/>
        <v>1.7665109489051094</v>
      </c>
      <c r="F251" s="5" cm="1">
        <f t="array" ref="F251">_xlfn.IFS(
    AND(C251&gt;C$535,D251&lt;D$535),1,
    AND(C251&gt;C$535,D251&gt;D$535),2,
    AND(C251&lt;C$535,D251&lt;D$535),4,
    AND(C251&lt;C$535,D251&gt;D$535),3,
    TRUE,""
)</f>
        <v>3</v>
      </c>
    </row>
    <row r="252" spans="1:6" x14ac:dyDescent="0.35">
      <c r="A252" s="1" t="s">
        <v>501</v>
      </c>
      <c r="B252" s="2">
        <v>44274</v>
      </c>
      <c r="C252" s="2">
        <v>335549</v>
      </c>
      <c r="D252" s="5">
        <f>+VLOOKUP(A252,Sheet6!A:D,4,0)</f>
        <v>0.2478920741989882</v>
      </c>
      <c r="E252" s="5">
        <f t="shared" si="4"/>
        <v>10.975173693086004</v>
      </c>
      <c r="F252" s="5" cm="1">
        <f t="array" ref="F252">_xlfn.IFS(
    AND(C252&gt;C$535,D252&lt;D$535),1,
    AND(C252&gt;C$535,D252&gt;D$535),2,
    AND(C252&lt;C$535,D252&lt;D$535),4,
    AND(C252&lt;C$535,D252&gt;D$535),3,
    TRUE,""
)</f>
        <v>2</v>
      </c>
    </row>
    <row r="253" spans="1:6" x14ac:dyDescent="0.35">
      <c r="A253" s="1" t="s">
        <v>491</v>
      </c>
      <c r="B253" s="2">
        <v>12297</v>
      </c>
      <c r="C253" s="2">
        <v>197775</v>
      </c>
      <c r="D253" s="5">
        <f>+VLOOKUP(A253,Sheet6!A:D,4,0)</f>
        <v>0.24758842443729906</v>
      </c>
      <c r="E253" s="5">
        <f t="shared" si="4"/>
        <v>3.0445948553054665</v>
      </c>
      <c r="F253" s="5" cm="1">
        <f t="array" ref="F253">_xlfn.IFS(
    AND(C253&gt;C$535,D253&lt;D$535),1,
    AND(C253&gt;C$535,D253&gt;D$535),2,
    AND(C253&lt;C$535,D253&lt;D$535),4,
    AND(C253&lt;C$535,D253&gt;D$535),3,
    TRUE,""
)</f>
        <v>3</v>
      </c>
    </row>
    <row r="254" spans="1:6" x14ac:dyDescent="0.35">
      <c r="A254" s="1" t="s">
        <v>341</v>
      </c>
      <c r="B254" s="2">
        <v>64119</v>
      </c>
      <c r="C254" s="2">
        <v>242345</v>
      </c>
      <c r="D254" s="5">
        <f>+VLOOKUP(A254,Sheet6!A:D,4,0)</f>
        <v>0.24551282051282053</v>
      </c>
      <c r="E254" s="5">
        <f t="shared" si="4"/>
        <v>15.742036538461539</v>
      </c>
      <c r="F254" s="5" cm="1">
        <f t="array" ref="F254">_xlfn.IFS(
    AND(C254&gt;C$535,D254&lt;D$535),1,
    AND(C254&gt;C$535,D254&gt;D$535),2,
    AND(C254&lt;C$535,D254&lt;D$535),4,
    AND(C254&lt;C$535,D254&gt;D$535),3,
    TRUE,""
)</f>
        <v>2</v>
      </c>
    </row>
    <row r="255" spans="1:6" x14ac:dyDescent="0.35">
      <c r="A255" s="1" t="s">
        <v>265</v>
      </c>
      <c r="B255" s="2">
        <v>65619</v>
      </c>
      <c r="C255" s="2">
        <v>264269</v>
      </c>
      <c r="D255" s="5">
        <f>+VLOOKUP(A255,Sheet6!A:D,4,0)</f>
        <v>0.24505928853754941</v>
      </c>
      <c r="E255" s="5">
        <f t="shared" si="4"/>
        <v>16.080545454545454</v>
      </c>
      <c r="F255" s="5" cm="1">
        <f t="array" ref="F255">_xlfn.IFS(
    AND(C255&gt;C$535,D255&lt;D$535),1,
    AND(C255&gt;C$535,D255&gt;D$535),2,
    AND(C255&lt;C$535,D255&lt;D$535),4,
    AND(C255&lt;C$535,D255&gt;D$535),3,
    TRUE,""
)</f>
        <v>2</v>
      </c>
    </row>
    <row r="256" spans="1:6" x14ac:dyDescent="0.35">
      <c r="A256" s="1" t="s">
        <v>400</v>
      </c>
      <c r="B256" s="2">
        <v>54178</v>
      </c>
      <c r="C256" s="2">
        <v>194931</v>
      </c>
      <c r="D256" s="5">
        <f>+VLOOKUP(A256,Sheet6!A:D,4,0)</f>
        <v>0.24479889042995837</v>
      </c>
      <c r="E256" s="5">
        <f t="shared" si="4"/>
        <v>13.262714285714285</v>
      </c>
      <c r="F256" s="5" cm="1">
        <f t="array" ref="F256">_xlfn.IFS(
    AND(C256&gt;C$535,D256&lt;D$535),1,
    AND(C256&gt;C$535,D256&gt;D$535),2,
    AND(C256&lt;C$535,D256&lt;D$535),4,
    AND(C256&lt;C$535,D256&gt;D$535),3,
    TRUE,""
)</f>
        <v>3</v>
      </c>
    </row>
    <row r="257" spans="1:6" x14ac:dyDescent="0.35">
      <c r="A257" s="1" t="s">
        <v>106</v>
      </c>
      <c r="B257" s="1">
        <v>7.15</v>
      </c>
      <c r="C257" s="2">
        <v>200146</v>
      </c>
      <c r="D257" s="5">
        <f>+VLOOKUP(A257,Sheet6!A:D,4,0)</f>
        <v>0.2445141065830721</v>
      </c>
      <c r="E257" s="5">
        <f t="shared" si="4"/>
        <v>1.7482758620689656E-3</v>
      </c>
      <c r="F257" s="5" cm="1">
        <f t="array" ref="F257">_xlfn.IFS(
    AND(C257&gt;C$535,D257&lt;D$535),1,
    AND(C257&gt;C$535,D257&gt;D$535),2,
    AND(C257&lt;C$535,D257&lt;D$535),4,
    AND(C257&lt;C$535,D257&gt;D$535),3,
    TRUE,""
)</f>
        <v>3</v>
      </c>
    </row>
    <row r="258" spans="1:6" x14ac:dyDescent="0.35">
      <c r="A258" s="1" t="s">
        <v>45</v>
      </c>
      <c r="B258" s="2">
        <v>19053</v>
      </c>
      <c r="C258" s="2">
        <v>213458</v>
      </c>
      <c r="D258" s="5">
        <f>+VLOOKUP(A258,Sheet6!A:D,4,0)</f>
        <v>0.24448897795591182</v>
      </c>
      <c r="E258" s="5">
        <f t="shared" si="4"/>
        <v>4.6582484969939877</v>
      </c>
      <c r="F258" s="5" cm="1">
        <f t="array" ref="F258">_xlfn.IFS(
    AND(C258&gt;C$535,D258&lt;D$535),1,
    AND(C258&gt;C$535,D258&gt;D$535),2,
    AND(C258&lt;C$535,D258&lt;D$535),4,
    AND(C258&lt;C$535,D258&gt;D$535),3,
    TRUE,""
)</f>
        <v>2</v>
      </c>
    </row>
    <row r="259" spans="1:6" x14ac:dyDescent="0.35">
      <c r="A259" s="1" t="s">
        <v>463</v>
      </c>
      <c r="B259" s="2">
        <v>4371</v>
      </c>
      <c r="C259" s="2">
        <v>172057</v>
      </c>
      <c r="D259" s="5">
        <f>+VLOOKUP(A259,Sheet6!A:D,4,0)</f>
        <v>0.24444444444444444</v>
      </c>
      <c r="E259" s="5">
        <f t="shared" si="4"/>
        <v>1.0684666666666667</v>
      </c>
      <c r="F259" s="5" cm="1">
        <f t="array" ref="F259">_xlfn.IFS(
    AND(C259&gt;C$535,D259&lt;D$535),1,
    AND(C259&gt;C$535,D259&gt;D$535),2,
    AND(C259&lt;C$535,D259&lt;D$535),4,
    AND(C259&lt;C$535,D259&gt;D$535),3,
    TRUE,""
)</f>
        <v>3</v>
      </c>
    </row>
    <row r="260" spans="1:6" x14ac:dyDescent="0.35">
      <c r="A260" s="1" t="s">
        <v>529</v>
      </c>
      <c r="B260" s="1">
        <v>69.62</v>
      </c>
      <c r="C260" s="2">
        <v>317869</v>
      </c>
      <c r="D260" s="5">
        <f>+VLOOKUP(A260,Sheet6!A:D,4,0)</f>
        <v>0.24341412012644889</v>
      </c>
      <c r="E260" s="5">
        <f t="shared" si="4"/>
        <v>1.6946491043203372E-2</v>
      </c>
      <c r="F260" s="5" cm="1">
        <f t="array" ref="F260">_xlfn.IFS(
    AND(C260&gt;C$535,D260&lt;D$535),1,
    AND(C260&gt;C$535,D260&gt;D$535),2,
    AND(C260&lt;C$535,D260&lt;D$535),4,
    AND(C260&lt;C$535,D260&gt;D$535),3,
    TRUE,""
)</f>
        <v>2</v>
      </c>
    </row>
    <row r="261" spans="1:6" x14ac:dyDescent="0.35">
      <c r="A261" s="1" t="s">
        <v>268</v>
      </c>
      <c r="B261" s="2">
        <v>66268</v>
      </c>
      <c r="C261" s="2">
        <v>310861</v>
      </c>
      <c r="D261" s="5">
        <f>+VLOOKUP(A261,Sheet6!A:D,4,0)</f>
        <v>0.24320987654320989</v>
      </c>
      <c r="E261" s="5">
        <f t="shared" si="4"/>
        <v>16.117032098765431</v>
      </c>
      <c r="F261" s="5" cm="1">
        <f t="array" ref="F261">_xlfn.IFS(
    AND(C261&gt;C$535,D261&lt;D$535),1,
    AND(C261&gt;C$535,D261&gt;D$535),2,
    AND(C261&lt;C$535,D261&lt;D$535),4,
    AND(C261&lt;C$535,D261&gt;D$535),3,
    TRUE,""
)</f>
        <v>2</v>
      </c>
    </row>
    <row r="262" spans="1:6" x14ac:dyDescent="0.35">
      <c r="A262" s="1" t="s">
        <v>165</v>
      </c>
      <c r="B262" s="2">
        <v>65184</v>
      </c>
      <c r="C262" s="2">
        <v>284149</v>
      </c>
      <c r="D262" s="5">
        <f>+VLOOKUP(A262,Sheet6!A:D,4,0)</f>
        <v>0.24260355029585798</v>
      </c>
      <c r="E262" s="5">
        <f t="shared" si="4"/>
        <v>15.813869822485207</v>
      </c>
      <c r="F262" s="5" cm="1">
        <f t="array" ref="F262">_xlfn.IFS(
    AND(C262&gt;C$535,D262&lt;D$535),1,
    AND(C262&gt;C$535,D262&gt;D$535),2,
    AND(C262&lt;C$535,D262&lt;D$535),4,
    AND(C262&lt;C$535,D262&gt;D$535),3,
    TRUE,""
)</f>
        <v>2</v>
      </c>
    </row>
    <row r="263" spans="1:6" x14ac:dyDescent="0.35">
      <c r="A263" s="1" t="s">
        <v>150</v>
      </c>
      <c r="B263" s="2">
        <v>52457</v>
      </c>
      <c r="C263" s="2">
        <v>360678</v>
      </c>
      <c r="D263" s="5">
        <f>+VLOOKUP(A263,Sheet6!A:D,4,0)</f>
        <v>0.24258289703315877</v>
      </c>
      <c r="E263" s="5">
        <f t="shared" si="4"/>
        <v>12.725171029668411</v>
      </c>
      <c r="F263" s="5" cm="1">
        <f t="array" ref="F263">_xlfn.IFS(
    AND(C263&gt;C$535,D263&lt;D$535),1,
    AND(C263&gt;C$535,D263&gt;D$535),2,
    AND(C263&lt;C$535,D263&lt;D$535),4,
    AND(C263&lt;C$535,D263&gt;D$535),3,
    TRUE,""
)</f>
        <v>2</v>
      </c>
    </row>
    <row r="264" spans="1:6" x14ac:dyDescent="0.35">
      <c r="A264" s="1" t="s">
        <v>235</v>
      </c>
      <c r="B264" s="2">
        <v>66889</v>
      </c>
      <c r="C264" s="2">
        <v>288435</v>
      </c>
      <c r="D264" s="5">
        <f>+VLOOKUP(A264,Sheet6!A:D,4,0)</f>
        <v>0.24223946784922396</v>
      </c>
      <c r="E264" s="5">
        <f t="shared" si="4"/>
        <v>16.203155764966741</v>
      </c>
      <c r="F264" s="5" cm="1">
        <f t="array" ref="F264">_xlfn.IFS(
    AND(C264&gt;C$535,D264&lt;D$535),1,
    AND(C264&gt;C$535,D264&gt;D$535),2,
    AND(C264&lt;C$535,D264&lt;D$535),4,
    AND(C264&lt;C$535,D264&gt;D$535),3,
    TRUE,""
)</f>
        <v>2</v>
      </c>
    </row>
    <row r="265" spans="1:6" x14ac:dyDescent="0.35">
      <c r="A265" s="1" t="s">
        <v>161</v>
      </c>
      <c r="B265" s="2">
        <v>6823</v>
      </c>
      <c r="C265" s="2">
        <v>222472</v>
      </c>
      <c r="D265" s="5">
        <f>+VLOOKUP(A265,Sheet6!A:D,4,0)</f>
        <v>0.24186046511627909</v>
      </c>
      <c r="E265" s="5">
        <f t="shared" si="4"/>
        <v>1.6502139534883722</v>
      </c>
      <c r="F265" s="5" cm="1">
        <f t="array" ref="F265">_xlfn.IFS(
    AND(C265&gt;C$535,D265&lt;D$535),1,
    AND(C265&gt;C$535,D265&gt;D$535),2,
    AND(C265&lt;C$535,D265&lt;D$535),4,
    AND(C265&lt;C$535,D265&gt;D$535),3,
    TRUE,""
)</f>
        <v>2</v>
      </c>
    </row>
    <row r="266" spans="1:6" x14ac:dyDescent="0.35">
      <c r="A266" s="1" t="s">
        <v>275</v>
      </c>
      <c r="B266" s="2">
        <v>48485</v>
      </c>
      <c r="C266" s="2">
        <v>317458</v>
      </c>
      <c r="D266" s="5">
        <f>+VLOOKUP(A266,Sheet6!A:D,4,0)</f>
        <v>0.24095458044649729</v>
      </c>
      <c r="E266" s="5">
        <f t="shared" si="4"/>
        <v>11.682682832948421</v>
      </c>
      <c r="F266" s="5" cm="1">
        <f t="array" ref="F266">_xlfn.IFS(
    AND(C266&gt;C$535,D266&lt;D$535),1,
    AND(C266&gt;C$535,D266&gt;D$535),2,
    AND(C266&lt;C$535,D266&lt;D$535),4,
    AND(C266&lt;C$535,D266&gt;D$535),3,
    TRUE,""
)</f>
        <v>2</v>
      </c>
    </row>
    <row r="267" spans="1:6" x14ac:dyDescent="0.35">
      <c r="A267" s="1" t="s">
        <v>477</v>
      </c>
      <c r="B267" s="2">
        <v>43067</v>
      </c>
      <c r="C267" s="2">
        <v>300137</v>
      </c>
      <c r="D267" s="5">
        <f>+VLOOKUP(A267,Sheet6!A:D,4,0)</f>
        <v>0.24064171122994651</v>
      </c>
      <c r="E267" s="5">
        <f t="shared" si="4"/>
        <v>10.363716577540107</v>
      </c>
      <c r="F267" s="5" cm="1">
        <f t="array" ref="F267">_xlfn.IFS(
    AND(C267&gt;C$535,D267&lt;D$535),1,
    AND(C267&gt;C$535,D267&gt;D$535),2,
    AND(C267&lt;C$535,D267&lt;D$535),4,
    AND(C267&lt;C$535,D267&gt;D$535),3,
    TRUE,""
)</f>
        <v>2</v>
      </c>
    </row>
    <row r="268" spans="1:6" x14ac:dyDescent="0.35">
      <c r="A268" s="1" t="s">
        <v>325</v>
      </c>
      <c r="B268" s="2">
        <v>9199</v>
      </c>
      <c r="C268" s="2">
        <v>171757</v>
      </c>
      <c r="D268" s="5">
        <f>+VLOOKUP(A268,Sheet6!A:D,4,0)</f>
        <v>0.24</v>
      </c>
      <c r="E268" s="5">
        <f t="shared" si="4"/>
        <v>2.2077599999999999</v>
      </c>
      <c r="F268" s="5" cm="1">
        <f t="array" ref="F268">_xlfn.IFS(
    AND(C268&gt;C$535,D268&lt;D$535),1,
    AND(C268&gt;C$535,D268&gt;D$535),2,
    AND(C268&lt;C$535,D268&lt;D$535),4,
    AND(C268&lt;C$535,D268&gt;D$535),3,
    TRUE,""
)</f>
        <v>3</v>
      </c>
    </row>
    <row r="269" spans="1:6" x14ac:dyDescent="0.35">
      <c r="A269" s="1" t="s">
        <v>127</v>
      </c>
      <c r="B269" s="2">
        <v>49608</v>
      </c>
      <c r="C269" s="2">
        <v>277134</v>
      </c>
      <c r="D269" s="5">
        <f>+VLOOKUP(A269,Sheet6!A:D,4,0)</f>
        <v>0.23970290344361916</v>
      </c>
      <c r="E269" s="5">
        <f t="shared" si="4"/>
        <v>11.89118163403106</v>
      </c>
      <c r="F269" s="5" cm="1">
        <f t="array" ref="F269">_xlfn.IFS(
    AND(C269&gt;C$535,D269&lt;D$535),1,
    AND(C269&gt;C$535,D269&gt;D$535),2,
    AND(C269&lt;C$535,D269&lt;D$535),4,
    AND(C269&lt;C$535,D269&gt;D$535),3,
    TRUE,""
)</f>
        <v>2</v>
      </c>
    </row>
    <row r="270" spans="1:6" x14ac:dyDescent="0.35">
      <c r="A270" s="1" t="s">
        <v>254</v>
      </c>
      <c r="B270" s="2">
        <v>37652</v>
      </c>
      <c r="C270" s="1">
        <v>162.62</v>
      </c>
      <c r="D270" s="5">
        <f>+VLOOKUP(A270,Sheet6!A:D,4,0)</f>
        <v>0.23852183650615902</v>
      </c>
      <c r="E270" s="5">
        <f t="shared" si="4"/>
        <v>8.9808241881298994</v>
      </c>
      <c r="F270" s="5" cm="1">
        <f t="array" ref="F270">_xlfn.IFS(
    AND(C270&gt;C$535,D270&lt;D$535),1,
    AND(C270&gt;C$535,D270&gt;D$535),2,
    AND(C270&lt;C$535,D270&lt;D$535),4,
    AND(C270&lt;C$535,D270&gt;D$535),3,
    TRUE,""
)</f>
        <v>3</v>
      </c>
    </row>
    <row r="271" spans="1:6" x14ac:dyDescent="0.35">
      <c r="A271" s="1" t="s">
        <v>350</v>
      </c>
      <c r="B271" s="2">
        <v>35001</v>
      </c>
      <c r="C271" s="1">
        <v>307.25</v>
      </c>
      <c r="D271" s="5">
        <f>+VLOOKUP(A271,Sheet6!A:D,4,0)</f>
        <v>0.23529411764705885</v>
      </c>
      <c r="E271" s="5">
        <f t="shared" si="4"/>
        <v>8.2355294117647055</v>
      </c>
      <c r="F271" s="5" cm="1">
        <f t="array" ref="F271">_xlfn.IFS(
    AND(C271&gt;C$535,D271&lt;D$535),1,
    AND(C271&gt;C$535,D271&gt;D$535),2,
    AND(C271&lt;C$535,D271&lt;D$535),4,
    AND(C271&lt;C$535,D271&gt;D$535),3,
    TRUE,""
)</f>
        <v>3</v>
      </c>
    </row>
    <row r="272" spans="1:6" x14ac:dyDescent="0.35">
      <c r="A272" s="1" t="s">
        <v>72</v>
      </c>
      <c r="B272" s="2">
        <v>23965</v>
      </c>
      <c r="C272" s="2">
        <v>269013</v>
      </c>
      <c r="D272" s="5">
        <f>+VLOOKUP(A272,Sheet6!A:D,4,0)</f>
        <v>0.23518518518518516</v>
      </c>
      <c r="E272" s="5">
        <f t="shared" si="4"/>
        <v>5.6362129629629623</v>
      </c>
      <c r="F272" s="5" cm="1">
        <f t="array" ref="F272">_xlfn.IFS(
    AND(C272&gt;C$535,D272&lt;D$535),1,
    AND(C272&gt;C$535,D272&gt;D$535),2,
    AND(C272&lt;C$535,D272&lt;D$535),4,
    AND(C272&lt;C$535,D272&gt;D$535),3,
    TRUE,""
)</f>
        <v>2</v>
      </c>
    </row>
    <row r="273" spans="1:6" x14ac:dyDescent="0.35">
      <c r="A273" s="1" t="s">
        <v>264</v>
      </c>
      <c r="B273" s="2">
        <v>79639</v>
      </c>
      <c r="C273" s="2">
        <v>268161</v>
      </c>
      <c r="D273" s="5">
        <f>+VLOOKUP(A273,Sheet6!A:D,4,0)</f>
        <v>0.23513658275307978</v>
      </c>
      <c r="E273" s="5">
        <f t="shared" si="4"/>
        <v>18.726042313872519</v>
      </c>
      <c r="F273" s="5" cm="1">
        <f t="array" ref="F273">_xlfn.IFS(
    AND(C273&gt;C$535,D273&lt;D$535),1,
    AND(C273&gt;C$535,D273&gt;D$535),2,
    AND(C273&lt;C$535,D273&lt;D$535),4,
    AND(C273&lt;C$535,D273&gt;D$535),3,
    TRUE,""
)</f>
        <v>2</v>
      </c>
    </row>
    <row r="274" spans="1:6" x14ac:dyDescent="0.35">
      <c r="A274" s="1" t="s">
        <v>250</v>
      </c>
      <c r="B274" s="2">
        <v>60256</v>
      </c>
      <c r="C274" s="2">
        <v>188115</v>
      </c>
      <c r="D274" s="5">
        <f>+VLOOKUP(A274,Sheet6!A:D,4,0)</f>
        <v>0.23474178403755869</v>
      </c>
      <c r="E274" s="5">
        <f t="shared" si="4"/>
        <v>14.144600938967136</v>
      </c>
      <c r="F274" s="5" cm="1">
        <f t="array" ref="F274">_xlfn.IFS(
    AND(C274&gt;C$535,D274&lt;D$535),1,
    AND(C274&gt;C$535,D274&gt;D$535),2,
    AND(C274&lt;C$535,D274&lt;D$535),4,
    AND(C274&lt;C$535,D274&gt;D$535),3,
    TRUE,""
)</f>
        <v>3</v>
      </c>
    </row>
    <row r="275" spans="1:6" x14ac:dyDescent="0.35">
      <c r="A275" s="1" t="s">
        <v>149</v>
      </c>
      <c r="B275" s="2">
        <v>3283</v>
      </c>
      <c r="C275" s="2">
        <v>300045</v>
      </c>
      <c r="D275" s="5">
        <f>+VLOOKUP(A275,Sheet6!A:D,4,0)</f>
        <v>0.23364485981308411</v>
      </c>
      <c r="E275" s="5">
        <f t="shared" si="4"/>
        <v>0.76705607476635507</v>
      </c>
      <c r="F275" s="5" cm="1">
        <f t="array" ref="F275">_xlfn.IFS(
    AND(C275&gt;C$535,D275&lt;D$535),1,
    AND(C275&gt;C$535,D275&gt;D$535),2,
    AND(C275&lt;C$535,D275&lt;D$535),4,
    AND(C275&lt;C$535,D275&gt;D$535),3,
    TRUE,""
)</f>
        <v>2</v>
      </c>
    </row>
    <row r="276" spans="1:6" x14ac:dyDescent="0.35">
      <c r="A276" s="1" t="s">
        <v>10</v>
      </c>
      <c r="B276" s="2">
        <v>38475</v>
      </c>
      <c r="C276" s="2">
        <v>200441</v>
      </c>
      <c r="D276" s="5">
        <f>+VLOOKUP(A276,Sheet6!A:D,4,0)</f>
        <v>0.2332155477031802</v>
      </c>
      <c r="E276" s="5">
        <f t="shared" si="4"/>
        <v>8.9729681978798581</v>
      </c>
      <c r="F276" s="5" cm="1">
        <f t="array" ref="F276">_xlfn.IFS(
    AND(C276&gt;C$535,D276&lt;D$535),1,
    AND(C276&gt;C$535,D276&gt;D$535),2,
    AND(C276&lt;C$535,D276&lt;D$535),4,
    AND(C276&lt;C$535,D276&gt;D$535),3,
    TRUE,""
)</f>
        <v>3</v>
      </c>
    </row>
    <row r="277" spans="1:6" x14ac:dyDescent="0.35">
      <c r="A277" s="1" t="s">
        <v>86</v>
      </c>
      <c r="B277" s="2">
        <v>12781</v>
      </c>
      <c r="C277" s="2">
        <v>366629</v>
      </c>
      <c r="D277" s="5">
        <f>+VLOOKUP(A277,Sheet6!A:D,4,0)</f>
        <v>0.23308270676691728</v>
      </c>
      <c r="E277" s="5">
        <f t="shared" si="4"/>
        <v>2.9790300751879699</v>
      </c>
      <c r="F277" s="5" cm="1">
        <f t="array" ref="F277">_xlfn.IFS(
    AND(C277&gt;C$535,D277&lt;D$535),1,
    AND(C277&gt;C$535,D277&gt;D$535),2,
    AND(C277&lt;C$535,D277&lt;D$535),4,
    AND(C277&lt;C$535,D277&gt;D$535),3,
    TRUE,""
)</f>
        <v>2</v>
      </c>
    </row>
    <row r="278" spans="1:6" x14ac:dyDescent="0.35">
      <c r="A278" s="1" t="s">
        <v>464</v>
      </c>
      <c r="B278" s="2">
        <v>10441</v>
      </c>
      <c r="C278" s="2">
        <v>186852</v>
      </c>
      <c r="D278" s="5">
        <f>+VLOOKUP(A278,Sheet6!A:D,4,0)</f>
        <v>0.23275862068965519</v>
      </c>
      <c r="E278" s="5">
        <f t="shared" si="4"/>
        <v>2.4302327586206895</v>
      </c>
      <c r="F278" s="5" cm="1">
        <f t="array" ref="F278">_xlfn.IFS(
    AND(C278&gt;C$535,D278&lt;D$535),1,
    AND(C278&gt;C$535,D278&gt;D$535),2,
    AND(C278&lt;C$535,D278&lt;D$535),4,
    AND(C278&lt;C$535,D278&gt;D$535),3,
    TRUE,""
)</f>
        <v>3</v>
      </c>
    </row>
    <row r="279" spans="1:6" x14ac:dyDescent="0.35">
      <c r="A279" s="1" t="s">
        <v>536</v>
      </c>
      <c r="B279" s="2">
        <v>33739</v>
      </c>
      <c r="C279" s="2">
        <v>262191</v>
      </c>
      <c r="D279" s="5">
        <f>+VLOOKUP(A279,Sheet6!A:D,4,0)</f>
        <v>0.23208722741433022</v>
      </c>
      <c r="E279" s="5">
        <f t="shared" si="4"/>
        <v>7.8303909657320876</v>
      </c>
      <c r="F279" s="5" cm="1">
        <f t="array" ref="F279">_xlfn.IFS(
    AND(C279&gt;C$535,D279&lt;D$535),1,
    AND(C279&gt;C$535,D279&gt;D$535),2,
    AND(C279&lt;C$535,D279&lt;D$535),4,
    AND(C279&lt;C$535,D279&gt;D$535),3,
    TRUE,""
)</f>
        <v>2</v>
      </c>
    </row>
    <row r="280" spans="1:6" x14ac:dyDescent="0.35">
      <c r="A280" s="1" t="s">
        <v>467</v>
      </c>
      <c r="B280" s="2">
        <v>13106</v>
      </c>
      <c r="C280" s="2">
        <v>399746</v>
      </c>
      <c r="D280" s="5">
        <f>+VLOOKUP(A280,Sheet6!A:D,4,0)</f>
        <v>0.22957198443579765</v>
      </c>
      <c r="E280" s="5">
        <f t="shared" si="4"/>
        <v>3.008770428015564</v>
      </c>
      <c r="F280" s="5" cm="1">
        <f t="array" ref="F280">_xlfn.IFS(
    AND(C280&gt;C$535,D280&lt;D$535),1,
    AND(C280&gt;C$535,D280&gt;D$535),2,
    AND(C280&lt;C$535,D280&lt;D$535),4,
    AND(C280&lt;C$535,D280&gt;D$535),3,
    TRUE,""
)</f>
        <v>2</v>
      </c>
    </row>
    <row r="281" spans="1:6" x14ac:dyDescent="0.35">
      <c r="A281" s="1" t="s">
        <v>422</v>
      </c>
      <c r="B281" s="2">
        <v>67248</v>
      </c>
      <c r="C281" s="2">
        <v>312143</v>
      </c>
      <c r="D281" s="5">
        <f>+VLOOKUP(A281,Sheet6!A:D,4,0)</f>
        <v>0.22826086956521741</v>
      </c>
      <c r="E281" s="5">
        <f t="shared" si="4"/>
        <v>15.350086956521739</v>
      </c>
      <c r="F281" s="5" cm="1">
        <f t="array" ref="F281">_xlfn.IFS(
    AND(C281&gt;C$535,D281&lt;D$535),1,
    AND(C281&gt;C$535,D281&gt;D$535),2,
    AND(C281&lt;C$535,D281&lt;D$535),4,
    AND(C281&lt;C$535,D281&gt;D$535),3,
    TRUE,""
)</f>
        <v>2</v>
      </c>
    </row>
    <row r="282" spans="1:6" x14ac:dyDescent="0.35">
      <c r="A282" s="1" t="s">
        <v>408</v>
      </c>
      <c r="B282" s="2">
        <v>79099</v>
      </c>
      <c r="C282" s="1">
        <v>254.58</v>
      </c>
      <c r="D282" s="5">
        <f>+VLOOKUP(A282,Sheet6!A:D,4,0)</f>
        <v>0.22784810126582278</v>
      </c>
      <c r="E282" s="5">
        <f t="shared" si="4"/>
        <v>18.022556962025316</v>
      </c>
      <c r="F282" s="5" cm="1">
        <f t="array" ref="F282">_xlfn.IFS(
    AND(C282&gt;C$535,D282&lt;D$535),1,
    AND(C282&gt;C$535,D282&gt;D$535),2,
    AND(C282&lt;C$535,D282&lt;D$535),4,
    AND(C282&lt;C$535,D282&gt;D$535),3,
    TRUE,""
)</f>
        <v>3</v>
      </c>
    </row>
    <row r="283" spans="1:6" x14ac:dyDescent="0.35">
      <c r="A283" s="1" t="s">
        <v>539</v>
      </c>
      <c r="B283" s="2">
        <v>74294</v>
      </c>
      <c r="C283" s="2">
        <v>320616</v>
      </c>
      <c r="D283" s="5">
        <f>+VLOOKUP(A283,Sheet6!A:D,4,0)</f>
        <v>0.22717770034843204</v>
      </c>
      <c r="E283" s="5">
        <f t="shared" si="4"/>
        <v>16.87794006968641</v>
      </c>
      <c r="F283" s="5" cm="1">
        <f t="array" ref="F283">_xlfn.IFS(
    AND(C283&gt;C$535,D283&lt;D$535),1,
    AND(C283&gt;C$535,D283&gt;D$535),2,
    AND(C283&lt;C$535,D283&lt;D$535),4,
    AND(C283&lt;C$535,D283&gt;D$535),3,
    TRUE,""
)</f>
        <v>2</v>
      </c>
    </row>
    <row r="284" spans="1:6" x14ac:dyDescent="0.35">
      <c r="A284" s="1" t="s">
        <v>259</v>
      </c>
      <c r="B284" s="2">
        <v>10086</v>
      </c>
      <c r="C284" s="2">
        <v>347324</v>
      </c>
      <c r="D284" s="5">
        <f>+VLOOKUP(A284,Sheet6!A:D,4,0)</f>
        <v>0.22619047619047619</v>
      </c>
      <c r="E284" s="5">
        <f t="shared" si="4"/>
        <v>2.2813571428571429</v>
      </c>
      <c r="F284" s="5" cm="1">
        <f t="array" ref="F284">_xlfn.IFS(
    AND(C284&gt;C$535,D284&lt;D$535),1,
    AND(C284&gt;C$535,D284&gt;D$535),2,
    AND(C284&lt;C$535,D284&lt;D$535),4,
    AND(C284&lt;C$535,D284&gt;D$535),3,
    TRUE,""
)</f>
        <v>2</v>
      </c>
    </row>
    <row r="285" spans="1:6" x14ac:dyDescent="0.35">
      <c r="A285" s="1" t="s">
        <v>509</v>
      </c>
      <c r="B285" s="2">
        <v>54808</v>
      </c>
      <c r="C285" s="1">
        <v>340.86</v>
      </c>
      <c r="D285" s="5">
        <f>+VLOOKUP(A285,Sheet6!A:D,4,0)</f>
        <v>0.22600408441116404</v>
      </c>
      <c r="E285" s="5">
        <f t="shared" si="4"/>
        <v>12.386831858407078</v>
      </c>
      <c r="F285" s="5" cm="1">
        <f t="array" ref="F285">_xlfn.IFS(
    AND(C285&gt;C$535,D285&lt;D$535),1,
    AND(C285&gt;C$535,D285&gt;D$535),2,
    AND(C285&lt;C$535,D285&lt;D$535),4,
    AND(C285&lt;C$535,D285&gt;D$535),3,
    TRUE,""
)</f>
        <v>3</v>
      </c>
    </row>
    <row r="286" spans="1:6" x14ac:dyDescent="0.35">
      <c r="A286" s="1" t="s">
        <v>107</v>
      </c>
      <c r="B286" s="2">
        <v>7722</v>
      </c>
      <c r="C286" s="2">
        <v>432913</v>
      </c>
      <c r="D286" s="5">
        <f>+VLOOKUP(A286,Sheet6!A:D,4,0)</f>
        <v>0.22510822510822512</v>
      </c>
      <c r="E286" s="5">
        <f t="shared" si="4"/>
        <v>1.7382857142857144</v>
      </c>
      <c r="F286" s="5" cm="1">
        <f t="array" ref="F286">_xlfn.IFS(
    AND(C286&gt;C$535,D286&lt;D$535),1,
    AND(C286&gt;C$535,D286&gt;D$535),2,
    AND(C286&lt;C$535,D286&lt;D$535),4,
    AND(C286&lt;C$535,D286&gt;D$535),3,
    TRUE,""
)</f>
        <v>2</v>
      </c>
    </row>
    <row r="287" spans="1:6" x14ac:dyDescent="0.35">
      <c r="A287" s="1" t="s">
        <v>87</v>
      </c>
      <c r="B287" s="2">
        <v>18755</v>
      </c>
      <c r="C287" s="2">
        <v>301086</v>
      </c>
      <c r="D287" s="5">
        <f>+VLOOKUP(A287,Sheet6!A:D,4,0)</f>
        <v>0.22406639004149378</v>
      </c>
      <c r="E287" s="5">
        <f t="shared" si="4"/>
        <v>4.2023651452282156</v>
      </c>
      <c r="F287" s="5" cm="1">
        <f t="array" ref="F287">_xlfn.IFS(
    AND(C287&gt;C$535,D287&lt;D$535),1,
    AND(C287&gt;C$535,D287&gt;D$535),2,
    AND(C287&lt;C$535,D287&lt;D$535),4,
    AND(C287&lt;C$535,D287&gt;D$535),3,
    TRUE,""
)</f>
        <v>2</v>
      </c>
    </row>
    <row r="288" spans="1:6" x14ac:dyDescent="0.35">
      <c r="A288" s="1" t="s">
        <v>541</v>
      </c>
      <c r="B288" s="2">
        <v>64695</v>
      </c>
      <c r="C288" s="2">
        <v>226202</v>
      </c>
      <c r="D288" s="5">
        <f>+VLOOKUP(A288,Sheet6!A:D,4,0)</f>
        <v>0.22376237623762377</v>
      </c>
      <c r="E288" s="5">
        <f t="shared" si="4"/>
        <v>14.47630693069307</v>
      </c>
      <c r="F288" s="5" cm="1">
        <f t="array" ref="F288">_xlfn.IFS(
    AND(C288&gt;C$535,D288&lt;D$535),1,
    AND(C288&gt;C$535,D288&gt;D$535),2,
    AND(C288&lt;C$535,D288&lt;D$535),4,
    AND(C288&lt;C$535,D288&gt;D$535),3,
    TRUE,""
)</f>
        <v>2</v>
      </c>
    </row>
    <row r="289" spans="1:6" x14ac:dyDescent="0.35">
      <c r="A289" s="1" t="s">
        <v>213</v>
      </c>
      <c r="B289" s="2">
        <v>56714</v>
      </c>
      <c r="C289" s="2">
        <v>263621</v>
      </c>
      <c r="D289" s="5">
        <f>+VLOOKUP(A289,Sheet6!A:D,4,0)</f>
        <v>0.22347826086956521</v>
      </c>
      <c r="E289" s="5">
        <f t="shared" si="4"/>
        <v>12.67434608695652</v>
      </c>
      <c r="F289" s="5" cm="1">
        <f t="array" ref="F289">_xlfn.IFS(
    AND(C289&gt;C$535,D289&lt;D$535),1,
    AND(C289&gt;C$535,D289&gt;D$535),2,
    AND(C289&lt;C$535,D289&lt;D$535),4,
    AND(C289&lt;C$535,D289&gt;D$535),3,
    TRUE,""
)</f>
        <v>2</v>
      </c>
    </row>
    <row r="290" spans="1:6" x14ac:dyDescent="0.35">
      <c r="A290" s="1" t="s">
        <v>109</v>
      </c>
      <c r="B290" s="2">
        <v>4381</v>
      </c>
      <c r="C290" s="2">
        <v>339859</v>
      </c>
      <c r="D290" s="5">
        <f>+VLOOKUP(A290,Sheet6!A:D,4,0)</f>
        <v>0.22222222222222224</v>
      </c>
      <c r="E290" s="5">
        <f t="shared" si="4"/>
        <v>0.97355555555555562</v>
      </c>
      <c r="F290" s="5" cm="1">
        <f t="array" ref="F290">_xlfn.IFS(
    AND(C290&gt;C$535,D290&lt;D$535),1,
    AND(C290&gt;C$535,D290&gt;D$535),2,
    AND(C290&lt;C$535,D290&lt;D$535),4,
    AND(C290&lt;C$535,D290&gt;D$535),3,
    TRUE,""
)</f>
        <v>2</v>
      </c>
    </row>
    <row r="291" spans="1:6" x14ac:dyDescent="0.35">
      <c r="A291" s="1" t="s">
        <v>3</v>
      </c>
      <c r="B291" s="2">
        <v>23071</v>
      </c>
      <c r="C291" s="2">
        <v>253562</v>
      </c>
      <c r="D291" s="5">
        <f>+VLOOKUP(A291,Sheet6!A:D,4,0)</f>
        <v>0.22202486678507993</v>
      </c>
      <c r="E291" s="5">
        <f t="shared" si="4"/>
        <v>5.1223357015985798</v>
      </c>
      <c r="F291" s="5" cm="1">
        <f t="array" ref="F291">_xlfn.IFS(
    AND(C291&gt;C$535,D291&lt;D$535),1,
    AND(C291&gt;C$535,D291&gt;D$535),2,
    AND(C291&lt;C$535,D291&lt;D$535),4,
    AND(C291&lt;C$535,D291&gt;D$535),3,
    TRUE,""
)</f>
        <v>2</v>
      </c>
    </row>
    <row r="292" spans="1:6" x14ac:dyDescent="0.35">
      <c r="A292" s="1" t="s">
        <v>502</v>
      </c>
      <c r="B292" s="2">
        <v>44521</v>
      </c>
      <c r="C292" s="2">
        <v>255227</v>
      </c>
      <c r="D292" s="5">
        <f>+VLOOKUP(A292,Sheet6!A:D,4,0)</f>
        <v>0.22159090909090906</v>
      </c>
      <c r="E292" s="5">
        <f t="shared" si="4"/>
        <v>9.8654488636363613</v>
      </c>
      <c r="F292" s="5" cm="1">
        <f t="array" ref="F292">_xlfn.IFS(
    AND(C292&gt;C$535,D292&lt;D$535),1,
    AND(C292&gt;C$535,D292&gt;D$535),2,
    AND(C292&lt;C$535,D292&lt;D$535),4,
    AND(C292&lt;C$535,D292&gt;D$535),3,
    TRUE,""
)</f>
        <v>2</v>
      </c>
    </row>
    <row r="293" spans="1:6" x14ac:dyDescent="0.35">
      <c r="A293" s="1" t="s">
        <v>57</v>
      </c>
      <c r="B293" s="2">
        <v>7008</v>
      </c>
      <c r="C293" s="2">
        <v>590207</v>
      </c>
      <c r="D293" s="5">
        <f>+VLOOKUP(A293,Sheet6!A:D,4,0)</f>
        <v>0.22043010752688169</v>
      </c>
      <c r="E293" s="5">
        <f t="shared" si="4"/>
        <v>1.5447741935483867</v>
      </c>
      <c r="F293" s="5" cm="1">
        <f t="array" ref="F293">_xlfn.IFS(
    AND(C293&gt;C$535,D293&lt;D$535),1,
    AND(C293&gt;C$535,D293&gt;D$535),2,
    AND(C293&lt;C$535,D293&lt;D$535),4,
    AND(C293&lt;C$535,D293&gt;D$535),3,
    TRUE,""
)</f>
        <v>2</v>
      </c>
    </row>
    <row r="294" spans="1:6" x14ac:dyDescent="0.35">
      <c r="A294" s="1" t="s">
        <v>94</v>
      </c>
      <c r="B294" s="2">
        <v>22634</v>
      </c>
      <c r="C294" s="2">
        <v>208535</v>
      </c>
      <c r="D294" s="5">
        <f>+VLOOKUP(A294,Sheet6!A:D,4,0)</f>
        <v>0.22</v>
      </c>
      <c r="E294" s="5">
        <f t="shared" si="4"/>
        <v>4.9794800000000006</v>
      </c>
      <c r="F294" s="5" cm="1">
        <f t="array" ref="F294">_xlfn.IFS(
    AND(C294&gt;C$535,D294&lt;D$535),1,
    AND(C294&gt;C$535,D294&gt;D$535),2,
    AND(C294&lt;C$535,D294&lt;D$535),4,
    AND(C294&lt;C$535,D294&gt;D$535),3,
    TRUE,""
)</f>
        <v>3</v>
      </c>
    </row>
    <row r="295" spans="1:6" x14ac:dyDescent="0.35">
      <c r="A295" s="1" t="s">
        <v>29</v>
      </c>
      <c r="B295" s="2">
        <v>38956</v>
      </c>
      <c r="C295" s="1">
        <v>228.36</v>
      </c>
      <c r="D295" s="5">
        <f>+VLOOKUP(A295,Sheet6!A:D,4,0)</f>
        <v>0.21861777150916786</v>
      </c>
      <c r="E295" s="5">
        <f t="shared" si="4"/>
        <v>8.516473906911143</v>
      </c>
      <c r="F295" s="5" cm="1">
        <f t="array" ref="F295">_xlfn.IFS(
    AND(C295&gt;C$535,D295&lt;D$535),1,
    AND(C295&gt;C$535,D295&gt;D$535),2,
    AND(C295&lt;C$535,D295&lt;D$535),4,
    AND(C295&lt;C$535,D295&gt;D$535),3,
    TRUE,""
)</f>
        <v>3</v>
      </c>
    </row>
    <row r="296" spans="1:6" x14ac:dyDescent="0.35">
      <c r="A296" s="1" t="s">
        <v>204</v>
      </c>
      <c r="B296" s="2">
        <v>69651</v>
      </c>
      <c r="C296" s="2">
        <v>195201</v>
      </c>
      <c r="D296" s="5">
        <f>+VLOOKUP(A296,Sheet6!A:D,4,0)</f>
        <v>0.21775147928994085</v>
      </c>
      <c r="E296" s="5">
        <f t="shared" si="4"/>
        <v>15.16660828402367</v>
      </c>
      <c r="F296" s="5" cm="1">
        <f t="array" ref="F296">_xlfn.IFS(
    AND(C296&gt;C$535,D296&lt;D$535),1,
    AND(C296&gt;C$535,D296&gt;D$535),2,
    AND(C296&lt;C$535,D296&lt;D$535),4,
    AND(C296&lt;C$535,D296&gt;D$535),3,
    TRUE,""
)</f>
        <v>3</v>
      </c>
    </row>
    <row r="297" spans="1:6" x14ac:dyDescent="0.35">
      <c r="A297" s="1" t="s">
        <v>99</v>
      </c>
      <c r="B297" s="2">
        <v>25746</v>
      </c>
      <c r="C297" s="2">
        <v>401263</v>
      </c>
      <c r="D297" s="5">
        <f>+VLOOKUP(A297,Sheet6!A:D,4,0)</f>
        <v>0.21649484536082475</v>
      </c>
      <c r="E297" s="5">
        <f t="shared" si="4"/>
        <v>5.5738762886597941</v>
      </c>
      <c r="F297" s="5" cm="1">
        <f t="array" ref="F297">_xlfn.IFS(
    AND(C297&gt;C$535,D297&lt;D$535),1,
    AND(C297&gt;C$535,D297&gt;D$535),2,
    AND(C297&lt;C$535,D297&lt;D$535),4,
    AND(C297&lt;C$535,D297&gt;D$535),3,
    TRUE,""
)</f>
        <v>2</v>
      </c>
    </row>
    <row r="298" spans="1:6" x14ac:dyDescent="0.35">
      <c r="A298" s="1" t="s">
        <v>375</v>
      </c>
      <c r="B298" s="2">
        <v>72863</v>
      </c>
      <c r="C298" s="1">
        <v>199.14</v>
      </c>
      <c r="D298" s="5">
        <f>+VLOOKUP(A298,Sheet6!A:D,4,0)</f>
        <v>0.21641791044776115</v>
      </c>
      <c r="E298" s="5">
        <f t="shared" si="4"/>
        <v>15.768858208955221</v>
      </c>
      <c r="F298" s="5" cm="1">
        <f t="array" ref="F298">_xlfn.IFS(
    AND(C298&gt;C$535,D298&lt;D$535),1,
    AND(C298&gt;C$535,D298&gt;D$535),2,
    AND(C298&lt;C$535,D298&lt;D$535),4,
    AND(C298&lt;C$535,D298&gt;D$535),3,
    TRUE,""
)</f>
        <v>3</v>
      </c>
    </row>
    <row r="299" spans="1:6" x14ac:dyDescent="0.35">
      <c r="A299" s="1" t="s">
        <v>159</v>
      </c>
      <c r="B299" s="2">
        <v>72589</v>
      </c>
      <c r="C299" s="2">
        <v>298804</v>
      </c>
      <c r="D299" s="5">
        <f>+VLOOKUP(A299,Sheet6!A:D,4,0)</f>
        <v>0.21639344262295082</v>
      </c>
      <c r="E299" s="5">
        <f t="shared" ref="E299:E362" si="5">(B299*D299)/1000</f>
        <v>15.707783606557378</v>
      </c>
      <c r="F299" s="5" cm="1">
        <f t="array" ref="F299">_xlfn.IFS(
    AND(C299&gt;C$535,D299&lt;D$535),1,
    AND(C299&gt;C$535,D299&gt;D$535),2,
    AND(C299&lt;C$535,D299&lt;D$535),4,
    AND(C299&lt;C$535,D299&gt;D$535),3,
    TRUE,""
)</f>
        <v>2</v>
      </c>
    </row>
    <row r="300" spans="1:6" x14ac:dyDescent="0.35">
      <c r="A300" s="1" t="s">
        <v>272</v>
      </c>
      <c r="B300" s="2">
        <v>19227</v>
      </c>
      <c r="C300" s="2">
        <v>398929</v>
      </c>
      <c r="D300" s="5">
        <f>+VLOOKUP(A300,Sheet6!A:D,4,0)</f>
        <v>0.21632653061224488</v>
      </c>
      <c r="E300" s="5">
        <f t="shared" si="5"/>
        <v>4.1593102040816321</v>
      </c>
      <c r="F300" s="5" cm="1">
        <f t="array" ref="F300">_xlfn.IFS(
    AND(C300&gt;C$535,D300&lt;D$535),1,
    AND(C300&gt;C$535,D300&gt;D$535),2,
    AND(C300&lt;C$535,D300&lt;D$535),4,
    AND(C300&lt;C$535,D300&gt;D$535),3,
    TRUE,""
)</f>
        <v>2</v>
      </c>
    </row>
    <row r="301" spans="1:6" x14ac:dyDescent="0.35">
      <c r="A301" s="1" t="s">
        <v>303</v>
      </c>
      <c r="B301" s="2">
        <v>25245</v>
      </c>
      <c r="C301" s="2">
        <v>240566</v>
      </c>
      <c r="D301" s="5">
        <f>+VLOOKUP(A301,Sheet6!A:D,4,0)</f>
        <v>0.21499013806706116</v>
      </c>
      <c r="E301" s="5">
        <f t="shared" si="5"/>
        <v>5.4274260355029593</v>
      </c>
      <c r="F301" s="5" cm="1">
        <f t="array" ref="F301">_xlfn.IFS(
    AND(C301&gt;C$535,D301&lt;D$535),1,
    AND(C301&gt;C$535,D301&gt;D$535),2,
    AND(C301&lt;C$535,D301&lt;D$535),4,
    AND(C301&lt;C$535,D301&gt;D$535),3,
    TRUE,""
)</f>
        <v>2</v>
      </c>
    </row>
    <row r="302" spans="1:6" x14ac:dyDescent="0.35">
      <c r="A302" s="1" t="s">
        <v>96</v>
      </c>
      <c r="B302" s="2">
        <v>10088</v>
      </c>
      <c r="C302" s="2">
        <v>259516</v>
      </c>
      <c r="D302" s="5">
        <f>+VLOOKUP(A302,Sheet6!A:D,4,0)</f>
        <v>0.2137404580152672</v>
      </c>
      <c r="E302" s="5">
        <f t="shared" si="5"/>
        <v>2.1562137404580155</v>
      </c>
      <c r="F302" s="5" cm="1">
        <f t="array" ref="F302">_xlfn.IFS(
    AND(C302&gt;C$535,D302&lt;D$535),1,
    AND(C302&gt;C$535,D302&gt;D$535),2,
    AND(C302&lt;C$535,D302&lt;D$535),4,
    AND(C302&lt;C$535,D302&gt;D$535),3,
    TRUE,""
)</f>
        <v>2</v>
      </c>
    </row>
    <row r="303" spans="1:6" x14ac:dyDescent="0.35">
      <c r="A303" s="1" t="s">
        <v>195</v>
      </c>
      <c r="B303" s="2">
        <v>43651</v>
      </c>
      <c r="C303" s="2">
        <v>281092</v>
      </c>
      <c r="D303" s="5">
        <f>+VLOOKUP(A303,Sheet6!A:D,4,0)</f>
        <v>0.21306376360808713</v>
      </c>
      <c r="E303" s="5">
        <f t="shared" si="5"/>
        <v>9.30044634525661</v>
      </c>
      <c r="F303" s="5" cm="1">
        <f t="array" ref="F303">_xlfn.IFS(
    AND(C303&gt;C$535,D303&lt;D$535),1,
    AND(C303&gt;C$535,D303&gt;D$535),2,
    AND(C303&lt;C$535,D303&lt;D$535),4,
    AND(C303&lt;C$535,D303&gt;D$535),3,
    TRUE,""
)</f>
        <v>2</v>
      </c>
    </row>
    <row r="304" spans="1:6" x14ac:dyDescent="0.35">
      <c r="A304" s="1" t="s">
        <v>105</v>
      </c>
      <c r="B304" s="2">
        <v>11473</v>
      </c>
      <c r="C304" s="2">
        <v>271338</v>
      </c>
      <c r="D304" s="5">
        <f>+VLOOKUP(A304,Sheet6!A:D,4,0)</f>
        <v>0.21276595744680854</v>
      </c>
      <c r="E304" s="5">
        <f t="shared" si="5"/>
        <v>2.4410638297872342</v>
      </c>
      <c r="F304" s="5" cm="1">
        <f t="array" ref="F304">_xlfn.IFS(
    AND(C304&gt;C$535,D304&lt;D$535),1,
    AND(C304&gt;C$535,D304&gt;D$535),2,
    AND(C304&lt;C$535,D304&lt;D$535),4,
    AND(C304&lt;C$535,D304&gt;D$535),3,
    TRUE,""
)</f>
        <v>2</v>
      </c>
    </row>
    <row r="305" spans="1:6" x14ac:dyDescent="0.35">
      <c r="A305" s="1" t="s">
        <v>345</v>
      </c>
      <c r="B305" s="2">
        <v>43149</v>
      </c>
      <c r="C305" s="2">
        <v>304547</v>
      </c>
      <c r="D305" s="5">
        <f>+VLOOKUP(A305,Sheet6!A:D,4,0)</f>
        <v>0.21241379310344827</v>
      </c>
      <c r="E305" s="5">
        <f t="shared" si="5"/>
        <v>9.1654427586206886</v>
      </c>
      <c r="F305" s="5" cm="1">
        <f t="array" ref="F305">_xlfn.IFS(
    AND(C305&gt;C$535,D305&lt;D$535),1,
    AND(C305&gt;C$535,D305&gt;D$535),2,
    AND(C305&lt;C$535,D305&lt;D$535),4,
    AND(C305&lt;C$535,D305&gt;D$535),3,
    TRUE,""
)</f>
        <v>2</v>
      </c>
    </row>
    <row r="306" spans="1:6" x14ac:dyDescent="0.35">
      <c r="A306" s="1" t="s">
        <v>248</v>
      </c>
      <c r="B306" s="2">
        <v>66154</v>
      </c>
      <c r="C306" s="2">
        <v>329702</v>
      </c>
      <c r="D306" s="5">
        <f>+VLOOKUP(A306,Sheet6!A:D,4,0)</f>
        <v>0.21223021582733814</v>
      </c>
      <c r="E306" s="5">
        <f t="shared" si="5"/>
        <v>14.039877697841728</v>
      </c>
      <c r="F306" s="5" cm="1">
        <f t="array" ref="F306">_xlfn.IFS(
    AND(C306&gt;C$535,D306&lt;D$535),1,
    AND(C306&gt;C$535,D306&gt;D$535),2,
    AND(C306&lt;C$535,D306&lt;D$535),4,
    AND(C306&lt;C$535,D306&gt;D$535),3,
    TRUE,""
)</f>
        <v>2</v>
      </c>
    </row>
    <row r="307" spans="1:6" x14ac:dyDescent="0.35">
      <c r="A307" s="1" t="s">
        <v>456</v>
      </c>
      <c r="B307" s="2">
        <v>6861</v>
      </c>
      <c r="C307" s="2">
        <v>214845</v>
      </c>
      <c r="D307" s="5">
        <f>+VLOOKUP(A307,Sheet6!A:D,4,0)</f>
        <v>0.21171171171171169</v>
      </c>
      <c r="E307" s="5">
        <f t="shared" si="5"/>
        <v>1.452554054054054</v>
      </c>
      <c r="F307" s="5" cm="1">
        <f t="array" ref="F307">_xlfn.IFS(
    AND(C307&gt;C$535,D307&lt;D$535),1,
    AND(C307&gt;C$535,D307&gt;D$535),2,
    AND(C307&lt;C$535,D307&lt;D$535),4,
    AND(C307&lt;C$535,D307&gt;D$535),3,
    TRUE,""
)</f>
        <v>2</v>
      </c>
    </row>
    <row r="308" spans="1:6" x14ac:dyDescent="0.35">
      <c r="A308" s="1" t="s">
        <v>332</v>
      </c>
      <c r="B308" s="2">
        <v>54349</v>
      </c>
      <c r="C308" s="2">
        <v>257265</v>
      </c>
      <c r="D308" s="5">
        <f>+VLOOKUP(A308,Sheet6!A:D,4,0)</f>
        <v>0.21047227926078027</v>
      </c>
      <c r="E308" s="5">
        <f t="shared" si="5"/>
        <v>11.438957905544147</v>
      </c>
      <c r="F308" s="5" cm="1">
        <f t="array" ref="F308">_xlfn.IFS(
    AND(C308&gt;C$535,D308&lt;D$535),1,
    AND(C308&gt;C$535,D308&gt;D$535),2,
    AND(C308&lt;C$535,D308&lt;D$535),4,
    AND(C308&lt;C$535,D308&gt;D$535),3,
    TRUE,""
)</f>
        <v>2</v>
      </c>
    </row>
    <row r="309" spans="1:6" x14ac:dyDescent="0.35">
      <c r="A309" s="1" t="s">
        <v>413</v>
      </c>
      <c r="B309" s="2">
        <v>17243</v>
      </c>
      <c r="C309" s="2">
        <v>311838</v>
      </c>
      <c r="D309" s="5">
        <f>+VLOOKUP(A309,Sheet6!A:D,4,0)</f>
        <v>0.21040189125295505</v>
      </c>
      <c r="E309" s="5">
        <f t="shared" si="5"/>
        <v>3.627959810874704</v>
      </c>
      <c r="F309" s="5" cm="1">
        <f t="array" ref="F309">_xlfn.IFS(
    AND(C309&gt;C$535,D309&lt;D$535),1,
    AND(C309&gt;C$535,D309&gt;D$535),2,
    AND(C309&lt;C$535,D309&lt;D$535),4,
    AND(C309&lt;C$535,D309&gt;D$535),3,
    TRUE,""
)</f>
        <v>2</v>
      </c>
    </row>
    <row r="310" spans="1:6" x14ac:dyDescent="0.35">
      <c r="A310" s="1" t="s">
        <v>173</v>
      </c>
      <c r="B310" s="2">
        <v>7215</v>
      </c>
      <c r="C310" s="2">
        <v>222176</v>
      </c>
      <c r="D310" s="5">
        <f>+VLOOKUP(A310,Sheet6!A:D,4,0)</f>
        <v>0.20967741935483872</v>
      </c>
      <c r="E310" s="5">
        <f t="shared" si="5"/>
        <v>1.5128225806451614</v>
      </c>
      <c r="F310" s="5" cm="1">
        <f t="array" ref="F310">_xlfn.IFS(
    AND(C310&gt;C$535,D310&lt;D$535),1,
    AND(C310&gt;C$535,D310&gt;D$535),2,
    AND(C310&lt;C$535,D310&lt;D$535),4,
    AND(C310&lt;C$535,D310&gt;D$535),3,
    TRUE,""
)</f>
        <v>2</v>
      </c>
    </row>
    <row r="311" spans="1:6" x14ac:dyDescent="0.35">
      <c r="A311" s="1" t="s">
        <v>317</v>
      </c>
      <c r="B311" s="2">
        <v>66722</v>
      </c>
      <c r="C311" s="2">
        <v>267108</v>
      </c>
      <c r="D311" s="5">
        <f>+VLOOKUP(A311,Sheet6!A:D,4,0)</f>
        <v>0.20936639118457301</v>
      </c>
      <c r="E311" s="5">
        <f t="shared" si="5"/>
        <v>13.96934435261708</v>
      </c>
      <c r="F311" s="5" cm="1">
        <f t="array" ref="F311">_xlfn.IFS(
    AND(C311&gt;C$535,D311&lt;D$535),1,
    AND(C311&gt;C$535,D311&gt;D$535),2,
    AND(C311&lt;C$535,D311&lt;D$535),4,
    AND(C311&lt;C$535,D311&gt;D$535),3,
    TRUE,""
)</f>
        <v>2</v>
      </c>
    </row>
    <row r="312" spans="1:6" x14ac:dyDescent="0.35">
      <c r="A312" s="1" t="s">
        <v>260</v>
      </c>
      <c r="B312" s="2">
        <v>49087</v>
      </c>
      <c r="C312" s="2">
        <v>231813</v>
      </c>
      <c r="D312" s="5">
        <f>+VLOOKUP(A312,Sheet6!A:D,4,0)</f>
        <v>0.20907297830374752</v>
      </c>
      <c r="E312" s="5">
        <f t="shared" si="5"/>
        <v>10.262765285996055</v>
      </c>
      <c r="F312" s="5" cm="1">
        <f t="array" ref="F312">_xlfn.IFS(
    AND(C312&gt;C$535,D312&lt;D$535),1,
    AND(C312&gt;C$535,D312&gt;D$535),2,
    AND(C312&lt;C$535,D312&lt;D$535),4,
    AND(C312&lt;C$535,D312&gt;D$535),3,
    TRUE,""
)</f>
        <v>2</v>
      </c>
    </row>
    <row r="313" spans="1:6" x14ac:dyDescent="0.35">
      <c r="A313" s="1" t="s">
        <v>417</v>
      </c>
      <c r="B313" s="2">
        <v>59687</v>
      </c>
      <c r="C313" s="2">
        <v>247056</v>
      </c>
      <c r="D313" s="5">
        <f>+VLOOKUP(A313,Sheet6!A:D,4,0)</f>
        <v>0.20890099909173476</v>
      </c>
      <c r="E313" s="5">
        <f t="shared" si="5"/>
        <v>12.468673932788374</v>
      </c>
      <c r="F313" s="5" cm="1">
        <f t="array" ref="F313">_xlfn.IFS(
    AND(C313&gt;C$535,D313&lt;D$535),1,
    AND(C313&gt;C$535,D313&gt;D$535),2,
    AND(C313&lt;C$535,D313&lt;D$535),4,
    AND(C313&lt;C$535,D313&gt;D$535),3,
    TRUE,""
)</f>
        <v>2</v>
      </c>
    </row>
    <row r="314" spans="1:6" x14ac:dyDescent="0.35">
      <c r="A314" s="1" t="s">
        <v>486</v>
      </c>
      <c r="B314" s="2">
        <v>62068</v>
      </c>
      <c r="C314" s="2">
        <v>267111</v>
      </c>
      <c r="D314" s="5">
        <f>+VLOOKUP(A314,Sheet6!A:D,4,0)</f>
        <v>0.20836891545687444</v>
      </c>
      <c r="E314" s="5">
        <f t="shared" si="5"/>
        <v>12.933041844577282</v>
      </c>
      <c r="F314" s="5" cm="1">
        <f t="array" ref="F314">_xlfn.IFS(
    AND(C314&gt;C$535,D314&lt;D$535),1,
    AND(C314&gt;C$535,D314&gt;D$535),2,
    AND(C314&lt;C$535,D314&lt;D$535),4,
    AND(C314&lt;C$535,D314&gt;D$535),3,
    TRUE,""
)</f>
        <v>2</v>
      </c>
    </row>
    <row r="315" spans="1:6" x14ac:dyDescent="0.35">
      <c r="A315" s="1" t="s">
        <v>377</v>
      </c>
      <c r="B315" s="2">
        <v>70808</v>
      </c>
      <c r="C315" s="2">
        <v>290873</v>
      </c>
      <c r="D315" s="5">
        <f>+VLOOKUP(A315,Sheet6!A:D,4,0)</f>
        <v>0.2080637132901941</v>
      </c>
      <c r="E315" s="5">
        <f t="shared" si="5"/>
        <v>14.732575410652064</v>
      </c>
      <c r="F315" s="5" cm="1">
        <f t="array" ref="F315">_xlfn.IFS(
    AND(C315&gt;C$535,D315&lt;D$535),1,
    AND(C315&gt;C$535,D315&gt;D$535),2,
    AND(C315&lt;C$535,D315&lt;D$535),4,
    AND(C315&lt;C$535,D315&gt;D$535),3,
    TRUE,""
)</f>
        <v>2</v>
      </c>
    </row>
    <row r="316" spans="1:6" x14ac:dyDescent="0.35">
      <c r="A316" s="1" t="s">
        <v>548</v>
      </c>
      <c r="B316" s="2">
        <v>25668</v>
      </c>
      <c r="C316" s="2">
        <v>312065</v>
      </c>
      <c r="D316" s="5">
        <f>+VLOOKUP(A316,Sheet6!A:D,4,0)</f>
        <v>0.2077087794432548</v>
      </c>
      <c r="E316" s="5">
        <f t="shared" si="5"/>
        <v>5.3314689507494641</v>
      </c>
      <c r="F316" s="5" cm="1">
        <f t="array" ref="F316">_xlfn.IFS(
    AND(C316&gt;C$535,D316&lt;D$535),1,
    AND(C316&gt;C$535,D316&gt;D$535),2,
    AND(C316&lt;C$535,D316&lt;D$535),4,
    AND(C316&lt;C$535,D316&gt;D$535),3,
    TRUE,""
)</f>
        <v>2</v>
      </c>
    </row>
    <row r="317" spans="1:6" x14ac:dyDescent="0.35">
      <c r="A317" s="1" t="s">
        <v>84</v>
      </c>
      <c r="B317" s="2">
        <v>9606</v>
      </c>
      <c r="C317" s="2">
        <v>232553</v>
      </c>
      <c r="D317" s="5">
        <f>+VLOOKUP(A317,Sheet6!A:D,4,0)</f>
        <v>0.2076502732240437</v>
      </c>
      <c r="E317" s="5">
        <f t="shared" si="5"/>
        <v>1.9946885245901638</v>
      </c>
      <c r="F317" s="5" cm="1">
        <f t="array" ref="F317">_xlfn.IFS(
    AND(C317&gt;C$535,D317&lt;D$535),1,
    AND(C317&gt;C$535,D317&gt;D$535),2,
    AND(C317&lt;C$535,D317&lt;D$535),4,
    AND(C317&lt;C$535,D317&gt;D$535),3,
    TRUE,""
)</f>
        <v>2</v>
      </c>
    </row>
    <row r="318" spans="1:6" x14ac:dyDescent="0.35">
      <c r="A318" s="1" t="s">
        <v>81</v>
      </c>
      <c r="B318" s="2">
        <v>4758</v>
      </c>
      <c r="C318" s="2">
        <v>159729</v>
      </c>
      <c r="D318" s="5">
        <f>+VLOOKUP(A318,Sheet6!A:D,4,0)</f>
        <v>0.20567375886524822</v>
      </c>
      <c r="E318" s="5">
        <f t="shared" si="5"/>
        <v>0.97859574468085098</v>
      </c>
      <c r="F318" s="5" cm="1">
        <f t="array" ref="F318">_xlfn.IFS(
    AND(C318&gt;C$535,D318&lt;D$535),1,
    AND(C318&gt;C$535,D318&gt;D$535),2,
    AND(C318&lt;C$535,D318&lt;D$535),4,
    AND(C318&lt;C$535,D318&gt;D$535),3,
    TRUE,""
)</f>
        <v>3</v>
      </c>
    </row>
    <row r="319" spans="1:6" x14ac:dyDescent="0.35">
      <c r="A319" s="1" t="s">
        <v>91</v>
      </c>
      <c r="B319" s="2">
        <v>10957</v>
      </c>
      <c r="C319" s="2">
        <v>335958</v>
      </c>
      <c r="D319" s="5">
        <f>+VLOOKUP(A319,Sheet6!A:D,4,0)</f>
        <v>0.20535714285714285</v>
      </c>
      <c r="E319" s="5">
        <f t="shared" si="5"/>
        <v>2.2500982142857144</v>
      </c>
      <c r="F319" s="5" cm="1">
        <f t="array" ref="F319">_xlfn.IFS(
    AND(C319&gt;C$535,D319&lt;D$535),1,
    AND(C319&gt;C$535,D319&gt;D$535),2,
    AND(C319&lt;C$535,D319&lt;D$535),4,
    AND(C319&lt;C$535,D319&gt;D$535),3,
    TRUE,""
)</f>
        <v>2</v>
      </c>
    </row>
    <row r="320" spans="1:6" x14ac:dyDescent="0.35">
      <c r="A320" s="1" t="s">
        <v>465</v>
      </c>
      <c r="B320" s="2">
        <v>20885</v>
      </c>
      <c r="C320" s="2">
        <v>335551</v>
      </c>
      <c r="D320" s="5">
        <f>+VLOOKUP(A320,Sheet6!A:D,4,0)</f>
        <v>0.20529801324503311</v>
      </c>
      <c r="E320" s="5">
        <f t="shared" si="5"/>
        <v>4.2876490066225159</v>
      </c>
      <c r="F320" s="5" cm="1">
        <f t="array" ref="F320">_xlfn.IFS(
    AND(C320&gt;C$535,D320&lt;D$535),1,
    AND(C320&gt;C$535,D320&gt;D$535),2,
    AND(C320&lt;C$535,D320&lt;D$535),4,
    AND(C320&lt;C$535,D320&gt;D$535),3,
    TRUE,""
)</f>
        <v>2</v>
      </c>
    </row>
    <row r="321" spans="1:6" x14ac:dyDescent="0.35">
      <c r="A321" s="1" t="s">
        <v>77</v>
      </c>
      <c r="B321" s="1">
        <v>25.89</v>
      </c>
      <c r="C321" s="2">
        <v>265967</v>
      </c>
      <c r="D321" s="5">
        <f>+VLOOKUP(A321,Sheet6!A:D,4,0)</f>
        <v>0.20512820512820512</v>
      </c>
      <c r="E321" s="5">
        <f t="shared" si="5"/>
        <v>5.3107692307692309E-3</v>
      </c>
      <c r="F321" s="5" cm="1">
        <f t="array" ref="F321">_xlfn.IFS(
    AND(C321&gt;C$535,D321&lt;D$535),1,
    AND(C321&gt;C$535,D321&gt;D$535),2,
    AND(C321&lt;C$535,D321&lt;D$535),4,
    AND(C321&lt;C$535,D321&gt;D$535),3,
    TRUE,""
)</f>
        <v>2</v>
      </c>
    </row>
    <row r="322" spans="1:6" x14ac:dyDescent="0.35">
      <c r="A322" s="1" t="s">
        <v>505</v>
      </c>
      <c r="B322" s="2">
        <v>57341</v>
      </c>
      <c r="C322" s="2">
        <v>269024</v>
      </c>
      <c r="D322" s="5">
        <f>+VLOOKUP(A322,Sheet6!A:D,4,0)</f>
        <v>0.20431034482758623</v>
      </c>
      <c r="E322" s="5">
        <f t="shared" si="5"/>
        <v>11.715359482758622</v>
      </c>
      <c r="F322" s="5" cm="1">
        <f t="array" ref="F322">_xlfn.IFS(
    AND(C322&gt;C$535,D322&lt;D$535),1,
    AND(C322&gt;C$535,D322&gt;D$535),2,
    AND(C322&lt;C$535,D322&lt;D$535),4,
    AND(C322&lt;C$535,D322&gt;D$535),3,
    TRUE,""
)</f>
        <v>2</v>
      </c>
    </row>
    <row r="323" spans="1:6" x14ac:dyDescent="0.35">
      <c r="A323" s="1" t="s">
        <v>448</v>
      </c>
      <c r="B323" s="2">
        <v>4658</v>
      </c>
      <c r="C323" s="2">
        <v>156499</v>
      </c>
      <c r="D323" s="5">
        <f>+VLOOKUP(A323,Sheet6!A:D,4,0)</f>
        <v>0.20408163265306123</v>
      </c>
      <c r="E323" s="5">
        <f t="shared" si="5"/>
        <v>0.95061224489795915</v>
      </c>
      <c r="F323" s="5" cm="1">
        <f t="array" ref="F323">_xlfn.IFS(
    AND(C323&gt;C$535,D323&lt;D$535),1,
    AND(C323&gt;C$535,D323&gt;D$535),2,
    AND(C323&lt;C$535,D323&lt;D$535),4,
    AND(C323&lt;C$535,D323&gt;D$535),3,
    TRUE,""
)</f>
        <v>3</v>
      </c>
    </row>
    <row r="324" spans="1:6" x14ac:dyDescent="0.35">
      <c r="A324" s="1" t="s">
        <v>42</v>
      </c>
      <c r="B324" s="1">
        <v>31.17</v>
      </c>
      <c r="C324" s="2">
        <v>304554</v>
      </c>
      <c r="D324" s="5">
        <f>+VLOOKUP(A324,Sheet6!A:D,4,0)</f>
        <v>0.20319999999999999</v>
      </c>
      <c r="E324" s="5">
        <f t="shared" si="5"/>
        <v>6.3337440000000005E-3</v>
      </c>
      <c r="F324" s="5" cm="1">
        <f t="array" ref="F324">_xlfn.IFS(
    AND(C324&gt;C$535,D324&lt;D$535),1,
    AND(C324&gt;C$535,D324&gt;D$535),2,
    AND(C324&lt;C$535,D324&lt;D$535),4,
    AND(C324&lt;C$535,D324&gt;D$535),3,
    TRUE,""
)</f>
        <v>2</v>
      </c>
    </row>
    <row r="325" spans="1:6" x14ac:dyDescent="0.35">
      <c r="A325" s="1" t="s">
        <v>285</v>
      </c>
      <c r="B325" s="2">
        <v>6947</v>
      </c>
      <c r="C325" s="2">
        <v>254646</v>
      </c>
      <c r="D325" s="5">
        <f>+VLOOKUP(A325,Sheet6!A:D,4,0)</f>
        <v>0.20224719101123595</v>
      </c>
      <c r="E325" s="5">
        <f t="shared" si="5"/>
        <v>1.4050112359550562</v>
      </c>
      <c r="F325" s="5" cm="1">
        <f t="array" ref="F325">_xlfn.IFS(
    AND(C325&gt;C$535,D325&lt;D$535),1,
    AND(C325&gt;C$535,D325&gt;D$535),2,
    AND(C325&lt;C$535,D325&lt;D$535),4,
    AND(C325&lt;C$535,D325&gt;D$535),3,
    TRUE,""
)</f>
        <v>2</v>
      </c>
    </row>
    <row r="326" spans="1:6" x14ac:dyDescent="0.35">
      <c r="A326" s="1" t="s">
        <v>133</v>
      </c>
      <c r="B326" s="2">
        <v>13339</v>
      </c>
      <c r="C326" s="2">
        <v>349059</v>
      </c>
      <c r="D326" s="5">
        <f>+VLOOKUP(A326,Sheet6!A:D,4,0)</f>
        <v>0.20189274447949529</v>
      </c>
      <c r="E326" s="5">
        <f t="shared" si="5"/>
        <v>2.6930473186119874</v>
      </c>
      <c r="F326" s="5" cm="1">
        <f t="array" ref="F326">_xlfn.IFS(
    AND(C326&gt;C$535,D326&lt;D$535),1,
    AND(C326&gt;C$535,D326&gt;D$535),2,
    AND(C326&lt;C$535,D326&lt;D$535),4,
    AND(C326&lt;C$535,D326&gt;D$535),3,
    TRUE,""
)</f>
        <v>2</v>
      </c>
    </row>
    <row r="327" spans="1:6" x14ac:dyDescent="0.35">
      <c r="A327" s="1" t="s">
        <v>295</v>
      </c>
      <c r="B327" s="1">
        <v>60.47</v>
      </c>
      <c r="C327" s="2">
        <v>268431</v>
      </c>
      <c r="D327" s="5">
        <f>+VLOOKUP(A327,Sheet6!A:D,4,0)</f>
        <v>0.20115774240231546</v>
      </c>
      <c r="E327" s="5">
        <f t="shared" si="5"/>
        <v>1.2164008683068016E-2</v>
      </c>
      <c r="F327" s="5" cm="1">
        <f t="array" ref="F327">_xlfn.IFS(
    AND(C327&gt;C$535,D327&lt;D$535),1,
    AND(C327&gt;C$535,D327&gt;D$535),2,
    AND(C327&lt;C$535,D327&lt;D$535),4,
    AND(C327&lt;C$535,D327&gt;D$535),3,
    TRUE,""
)</f>
        <v>2</v>
      </c>
    </row>
    <row r="328" spans="1:6" x14ac:dyDescent="0.35">
      <c r="A328" s="1" t="s">
        <v>450</v>
      </c>
      <c r="B328" s="2">
        <v>72412</v>
      </c>
      <c r="C328" s="2">
        <v>285436</v>
      </c>
      <c r="D328" s="5">
        <f>+VLOOKUP(A328,Sheet6!A:D,4,0)</f>
        <v>0.20093770931011387</v>
      </c>
      <c r="E328" s="5">
        <f t="shared" si="5"/>
        <v>14.550301406563966</v>
      </c>
      <c r="F328" s="5" cm="1">
        <f t="array" ref="F328">_xlfn.IFS(
    AND(C328&gt;C$535,D328&lt;D$535),1,
    AND(C328&gt;C$535,D328&gt;D$535),2,
    AND(C328&lt;C$535,D328&lt;D$535),4,
    AND(C328&lt;C$535,D328&gt;D$535),3,
    TRUE,""
)</f>
        <v>2</v>
      </c>
    </row>
    <row r="329" spans="1:6" x14ac:dyDescent="0.35">
      <c r="A329" s="1" t="s">
        <v>216</v>
      </c>
      <c r="B329" s="1">
        <v>20.7</v>
      </c>
      <c r="C329" s="2">
        <v>414017</v>
      </c>
      <c r="D329" s="5">
        <f>+VLOOKUP(A329,Sheet6!A:D,4,0)</f>
        <v>0.200354609929078</v>
      </c>
      <c r="E329" s="5">
        <f t="shared" si="5"/>
        <v>4.1473404255319146E-3</v>
      </c>
      <c r="F329" s="5" cm="1">
        <f t="array" ref="F329">_xlfn.IFS(
    AND(C329&gt;C$535,D329&lt;D$535),1,
    AND(C329&gt;C$535,D329&gt;D$535),2,
    AND(C329&lt;C$535,D329&lt;D$535),4,
    AND(C329&lt;C$535,D329&gt;D$535),3,
    TRUE,""
)</f>
        <v>2</v>
      </c>
    </row>
    <row r="330" spans="1:6" x14ac:dyDescent="0.35">
      <c r="A330" s="1" t="s">
        <v>331</v>
      </c>
      <c r="B330" s="2">
        <v>6991</v>
      </c>
      <c r="C330" s="2">
        <v>267218</v>
      </c>
      <c r="D330" s="5">
        <f>+VLOOKUP(A330,Sheet6!A:D,4,0)</f>
        <v>0.20000000000000004</v>
      </c>
      <c r="E330" s="5">
        <f t="shared" si="5"/>
        <v>1.3982000000000003</v>
      </c>
      <c r="F330" s="5" cm="1">
        <f t="array" ref="F330">_xlfn.IFS(
    AND(C330&gt;C$535,D330&lt;D$535),1,
    AND(C330&gt;C$535,D330&gt;D$535),2,
    AND(C330&lt;C$535,D330&lt;D$535),4,
    AND(C330&lt;C$535,D330&gt;D$535),3,
    TRUE,""
)</f>
        <v>2</v>
      </c>
    </row>
    <row r="331" spans="1:6" x14ac:dyDescent="0.35">
      <c r="A331" s="1" t="s">
        <v>399</v>
      </c>
      <c r="B331" s="2">
        <v>10036</v>
      </c>
      <c r="C331" s="2">
        <v>194491</v>
      </c>
      <c r="D331" s="5">
        <f>+VLOOKUP(A331,Sheet6!A:D,4,0)</f>
        <v>0.2</v>
      </c>
      <c r="E331" s="5">
        <f t="shared" si="5"/>
        <v>2.0072000000000001</v>
      </c>
      <c r="F331" s="5" cm="1">
        <f t="array" ref="F331">_xlfn.IFS(
    AND(C331&gt;C$535,D331&lt;D$535),1,
    AND(C331&gt;C$535,D331&gt;D$535),2,
    AND(C331&lt;C$535,D331&lt;D$535),4,
    AND(C331&lt;C$535,D331&gt;D$535),3,
    TRUE,""
)</f>
        <v>3</v>
      </c>
    </row>
    <row r="332" spans="1:6" x14ac:dyDescent="0.35">
      <c r="A332" s="1" t="s">
        <v>197</v>
      </c>
      <c r="B332" s="2">
        <v>22998</v>
      </c>
      <c r="C332" s="2">
        <v>291283</v>
      </c>
      <c r="D332" s="5">
        <f>+VLOOKUP(A332,Sheet6!A:D,4,0)</f>
        <v>0.19968051118210864</v>
      </c>
      <c r="E332" s="5">
        <f t="shared" si="5"/>
        <v>4.5922523961661348</v>
      </c>
      <c r="F332" s="5" cm="1">
        <f t="array" ref="F332">_xlfn.IFS(
    AND(C332&gt;C$535,D332&lt;D$535),1,
    AND(C332&gt;C$535,D332&gt;D$535),2,
    AND(C332&lt;C$535,D332&lt;D$535),4,
    AND(C332&lt;C$535,D332&gt;D$535),3,
    TRUE,""
)</f>
        <v>2</v>
      </c>
    </row>
    <row r="333" spans="1:6" x14ac:dyDescent="0.35">
      <c r="A333" s="1" t="s">
        <v>411</v>
      </c>
      <c r="B333" s="2">
        <v>40462</v>
      </c>
      <c r="C333" s="2">
        <v>287354</v>
      </c>
      <c r="D333" s="5">
        <f>+VLOOKUP(A333,Sheet6!A:D,4,0)</f>
        <v>0.19918283963227784</v>
      </c>
      <c r="E333" s="5">
        <f t="shared" si="5"/>
        <v>8.0593360572012269</v>
      </c>
      <c r="F333" s="5" cm="1">
        <f t="array" ref="F333">_xlfn.IFS(
    AND(C333&gt;C$535,D333&lt;D$535),1,
    AND(C333&gt;C$535,D333&gt;D$535),2,
    AND(C333&lt;C$535,D333&lt;D$535),4,
    AND(C333&lt;C$535,D333&gt;D$535),3,
    TRUE,""
)</f>
        <v>2</v>
      </c>
    </row>
    <row r="334" spans="1:6" x14ac:dyDescent="0.35">
      <c r="A334" s="1" t="s">
        <v>59</v>
      </c>
      <c r="B334" s="2">
        <v>23232</v>
      </c>
      <c r="C334" s="2">
        <v>277463</v>
      </c>
      <c r="D334" s="5">
        <f>+VLOOKUP(A334,Sheet6!A:D,4,0)</f>
        <v>0.19917012448132779</v>
      </c>
      <c r="E334" s="5">
        <f t="shared" si="5"/>
        <v>4.6271203319502074</v>
      </c>
      <c r="F334" s="5" cm="1">
        <f t="array" ref="F334">_xlfn.IFS(
    AND(C334&gt;C$535,D334&lt;D$535),1,
    AND(C334&gt;C$535,D334&gt;D$535),2,
    AND(C334&lt;C$535,D334&lt;D$535),4,
    AND(C334&lt;C$535,D334&gt;D$535),3,
    TRUE,""
)</f>
        <v>2</v>
      </c>
    </row>
    <row r="335" spans="1:6" x14ac:dyDescent="0.35">
      <c r="A335" s="1" t="s">
        <v>185</v>
      </c>
      <c r="B335" s="2">
        <v>71499</v>
      </c>
      <c r="C335" s="2">
        <v>305079</v>
      </c>
      <c r="D335" s="5">
        <f>+VLOOKUP(A335,Sheet6!A:D,4,0)</f>
        <v>0.19910514541387025</v>
      </c>
      <c r="E335" s="5">
        <f t="shared" si="5"/>
        <v>14.23581879194631</v>
      </c>
      <c r="F335" s="5" cm="1">
        <f t="array" ref="F335">_xlfn.IFS(
    AND(C335&gt;C$535,D335&lt;D$535),1,
    AND(C335&gt;C$535,D335&gt;D$535),2,
    AND(C335&lt;C$535,D335&lt;D$535),4,
    AND(C335&lt;C$535,D335&gt;D$535),3,
    TRUE,""
)</f>
        <v>2</v>
      </c>
    </row>
    <row r="336" spans="1:6" x14ac:dyDescent="0.35">
      <c r="A336" s="1" t="s">
        <v>252</v>
      </c>
      <c r="B336" s="2">
        <v>7103</v>
      </c>
      <c r="C336" s="2">
        <v>304525</v>
      </c>
      <c r="D336" s="5">
        <f>+VLOOKUP(A336,Sheet6!A:D,4,0)</f>
        <v>0.19886363636363635</v>
      </c>
      <c r="E336" s="5">
        <f t="shared" si="5"/>
        <v>1.4125284090909089</v>
      </c>
      <c r="F336" s="5" cm="1">
        <f t="array" ref="F336">_xlfn.IFS(
    AND(C336&gt;C$535,D336&lt;D$535),1,
    AND(C336&gt;C$535,D336&gt;D$535),2,
    AND(C336&lt;C$535,D336&lt;D$535),4,
    AND(C336&lt;C$535,D336&gt;D$535),3,
    TRUE,""
)</f>
        <v>2</v>
      </c>
    </row>
    <row r="337" spans="1:6" x14ac:dyDescent="0.35">
      <c r="A337" s="1" t="s">
        <v>542</v>
      </c>
      <c r="B337" s="2">
        <v>61411</v>
      </c>
      <c r="C337" s="2">
        <v>287393</v>
      </c>
      <c r="D337" s="5">
        <f>+VLOOKUP(A337,Sheet6!A:D,4,0)</f>
        <v>0.19857235561323816</v>
      </c>
      <c r="E337" s="5">
        <f t="shared" si="5"/>
        <v>12.194526930564569</v>
      </c>
      <c r="F337" s="5" cm="1">
        <f t="array" ref="F337">_xlfn.IFS(
    AND(C337&gt;C$535,D337&lt;D$535),1,
    AND(C337&gt;C$535,D337&gt;D$535),2,
    AND(C337&lt;C$535,D337&lt;D$535),4,
    AND(C337&lt;C$535,D337&gt;D$535),3,
    TRUE,""
)</f>
        <v>2</v>
      </c>
    </row>
    <row r="338" spans="1:6" x14ac:dyDescent="0.35">
      <c r="A338" s="1" t="s">
        <v>73</v>
      </c>
      <c r="B338" s="2">
        <v>26049</v>
      </c>
      <c r="C338" s="2">
        <v>244002</v>
      </c>
      <c r="D338" s="5">
        <f>+VLOOKUP(A338,Sheet6!A:D,4,0)</f>
        <v>0.19718309859154928</v>
      </c>
      <c r="E338" s="5">
        <f t="shared" si="5"/>
        <v>5.1364225352112669</v>
      </c>
      <c r="F338" s="5" cm="1">
        <f t="array" ref="F338">_xlfn.IFS(
    AND(C338&gt;C$535,D338&lt;D$535),1,
    AND(C338&gt;C$535,D338&gt;D$535),2,
    AND(C338&lt;C$535,D338&lt;D$535),4,
    AND(C338&lt;C$535,D338&gt;D$535),3,
    TRUE,""
)</f>
        <v>2</v>
      </c>
    </row>
    <row r="339" spans="1:6" x14ac:dyDescent="0.35">
      <c r="A339" s="1" t="s">
        <v>410</v>
      </c>
      <c r="B339" s="2">
        <v>6729</v>
      </c>
      <c r="C339" s="2">
        <v>157228</v>
      </c>
      <c r="D339" s="5">
        <f>+VLOOKUP(A339,Sheet6!A:D,4,0)</f>
        <v>0.19678714859437749</v>
      </c>
      <c r="E339" s="5">
        <f t="shared" si="5"/>
        <v>1.3241807228915661</v>
      </c>
      <c r="F339" s="5" cm="1">
        <f t="array" ref="F339">_xlfn.IFS(
    AND(C339&gt;C$535,D339&lt;D$535),1,
    AND(C339&gt;C$535,D339&gt;D$535),2,
    AND(C339&lt;C$535,D339&lt;D$535),4,
    AND(C339&lt;C$535,D339&gt;D$535),3,
    TRUE,""
)</f>
        <v>3</v>
      </c>
    </row>
    <row r="340" spans="1:6" x14ac:dyDescent="0.35">
      <c r="A340" s="1" t="s">
        <v>323</v>
      </c>
      <c r="B340" s="2">
        <v>10171</v>
      </c>
      <c r="C340" s="2">
        <v>187893</v>
      </c>
      <c r="D340" s="5">
        <f>+VLOOKUP(A340,Sheet6!A:D,4,0)</f>
        <v>0.19642857142857145</v>
      </c>
      <c r="E340" s="5">
        <f t="shared" si="5"/>
        <v>1.9978750000000003</v>
      </c>
      <c r="F340" s="5" cm="1">
        <f t="array" ref="F340">_xlfn.IFS(
    AND(C340&gt;C$535,D340&lt;D$535),1,
    AND(C340&gt;C$535,D340&gt;D$535),2,
    AND(C340&lt;C$535,D340&lt;D$535),4,
    AND(C340&lt;C$535,D340&gt;D$535),3,
    TRUE,""
)</f>
        <v>3</v>
      </c>
    </row>
    <row r="341" spans="1:6" x14ac:dyDescent="0.35">
      <c r="A341" s="1" t="s">
        <v>148</v>
      </c>
      <c r="B341" s="2">
        <v>4759</v>
      </c>
      <c r="C341" s="2">
        <v>200891</v>
      </c>
      <c r="D341" s="5">
        <f>+VLOOKUP(A341,Sheet6!A:D,4,0)</f>
        <v>0.19642857142857142</v>
      </c>
      <c r="E341" s="5">
        <f t="shared" si="5"/>
        <v>0.9348035714285714</v>
      </c>
      <c r="F341" s="5" cm="1">
        <f t="array" ref="F341">_xlfn.IFS(
    AND(C341&gt;C$535,D341&lt;D$535),1,
    AND(C341&gt;C$535,D341&gt;D$535),2,
    AND(C341&lt;C$535,D341&lt;D$535),4,
    AND(C341&lt;C$535,D341&gt;D$535),3,
    TRUE,""
)</f>
        <v>3</v>
      </c>
    </row>
    <row r="342" spans="1:6" x14ac:dyDescent="0.35">
      <c r="A342" s="1" t="s">
        <v>472</v>
      </c>
      <c r="B342" s="2">
        <v>28093</v>
      </c>
      <c r="C342" s="2">
        <v>239206</v>
      </c>
      <c r="D342" s="5">
        <f>+VLOOKUP(A342,Sheet6!A:D,4,0)</f>
        <v>0.19592298980747452</v>
      </c>
      <c r="E342" s="5">
        <f t="shared" si="5"/>
        <v>5.5040645526613821</v>
      </c>
      <c r="F342" s="5" cm="1">
        <f t="array" ref="F342">_xlfn.IFS(
    AND(C342&gt;C$535,D342&lt;D$535),1,
    AND(C342&gt;C$535,D342&gt;D$535),2,
    AND(C342&lt;C$535,D342&lt;D$535),4,
    AND(C342&lt;C$535,D342&gt;D$535),3,
    TRUE,""
)</f>
        <v>2</v>
      </c>
    </row>
    <row r="343" spans="1:6" x14ac:dyDescent="0.35">
      <c r="A343" s="1" t="s">
        <v>221</v>
      </c>
      <c r="B343" s="2">
        <v>47306</v>
      </c>
      <c r="C343" s="2">
        <v>330444</v>
      </c>
      <c r="D343" s="5">
        <f>+VLOOKUP(A343,Sheet6!A:D,4,0)</f>
        <v>0.19578686493184635</v>
      </c>
      <c r="E343" s="5">
        <f t="shared" si="5"/>
        <v>9.2618934324659232</v>
      </c>
      <c r="F343" s="5" cm="1">
        <f t="array" ref="F343">_xlfn.IFS(
    AND(C343&gt;C$535,D343&lt;D$535),1,
    AND(C343&gt;C$535,D343&gt;D$535),2,
    AND(C343&lt;C$535,D343&lt;D$535),4,
    AND(C343&lt;C$535,D343&gt;D$535),3,
    TRUE,""
)</f>
        <v>2</v>
      </c>
    </row>
    <row r="344" spans="1:6" x14ac:dyDescent="0.35">
      <c r="A344" s="1" t="s">
        <v>302</v>
      </c>
      <c r="B344" s="1">
        <v>6.79</v>
      </c>
      <c r="C344" s="2">
        <v>344904</v>
      </c>
      <c r="D344" s="5">
        <f>+VLOOKUP(A344,Sheet6!A:D,4,0)</f>
        <v>0.19554455445544555</v>
      </c>
      <c r="E344" s="5">
        <f t="shared" si="5"/>
        <v>1.3277475247524752E-3</v>
      </c>
      <c r="F344" s="5" cm="1">
        <f t="array" ref="F344">_xlfn.IFS(
    AND(C344&gt;C$535,D344&lt;D$535),1,
    AND(C344&gt;C$535,D344&gt;D$535),2,
    AND(C344&lt;C$535,D344&lt;D$535),4,
    AND(C344&lt;C$535,D344&gt;D$535),3,
    TRUE,""
)</f>
        <v>2</v>
      </c>
    </row>
    <row r="345" spans="1:6" x14ac:dyDescent="0.35">
      <c r="A345" s="1" t="s">
        <v>62</v>
      </c>
      <c r="B345" s="2">
        <v>19627</v>
      </c>
      <c r="C345" s="2">
        <v>333884</v>
      </c>
      <c r="D345" s="5">
        <f>+VLOOKUP(A345,Sheet6!A:D,4,0)</f>
        <v>0.19526627218934911</v>
      </c>
      <c r="E345" s="5">
        <f t="shared" si="5"/>
        <v>3.832491124260355</v>
      </c>
      <c r="F345" s="5" cm="1">
        <f t="array" ref="F345">_xlfn.IFS(
    AND(C345&gt;C$535,D345&lt;D$535),1,
    AND(C345&gt;C$535,D345&gt;D$535),2,
    AND(C345&lt;C$535,D345&lt;D$535),4,
    AND(C345&lt;C$535,D345&gt;D$535),3,
    TRUE,""
)</f>
        <v>2</v>
      </c>
    </row>
    <row r="346" spans="1:6" x14ac:dyDescent="0.35">
      <c r="A346" s="1" t="s">
        <v>319</v>
      </c>
      <c r="B346" s="2">
        <v>73208</v>
      </c>
      <c r="C346" s="2">
        <v>247403</v>
      </c>
      <c r="D346" s="5">
        <f>+VLOOKUP(A346,Sheet6!A:D,4,0)</f>
        <v>0.19522326064382137</v>
      </c>
      <c r="E346" s="5">
        <f t="shared" si="5"/>
        <v>14.291904465212873</v>
      </c>
      <c r="F346" s="5" cm="1">
        <f t="array" ref="F346">_xlfn.IFS(
    AND(C346&gt;C$535,D346&lt;D$535),1,
    AND(C346&gt;C$535,D346&gt;D$535),2,
    AND(C346&lt;C$535,D346&lt;D$535),4,
    AND(C346&lt;C$535,D346&gt;D$535),3,
    TRUE,""
)</f>
        <v>2</v>
      </c>
    </row>
    <row r="347" spans="1:6" x14ac:dyDescent="0.35">
      <c r="A347" s="1" t="s">
        <v>2</v>
      </c>
      <c r="B347" s="2">
        <v>13232</v>
      </c>
      <c r="C347" s="2">
        <v>309854</v>
      </c>
      <c r="D347" s="5">
        <f>+VLOOKUP(A347,Sheet6!A:D,4,0)</f>
        <v>0.19521912350597612</v>
      </c>
      <c r="E347" s="5">
        <f t="shared" si="5"/>
        <v>2.5831394422310758</v>
      </c>
      <c r="F347" s="5" cm="1">
        <f t="array" ref="F347">_xlfn.IFS(
    AND(C347&gt;C$535,D347&lt;D$535),1,
    AND(C347&gt;C$535,D347&gt;D$535),2,
    AND(C347&lt;C$535,D347&lt;D$535),4,
    AND(C347&lt;C$535,D347&gt;D$535),3,
    TRUE,""
)</f>
        <v>2</v>
      </c>
    </row>
    <row r="348" spans="1:6" x14ac:dyDescent="0.35">
      <c r="A348" s="1" t="s">
        <v>184</v>
      </c>
      <c r="B348" s="2">
        <v>64006</v>
      </c>
      <c r="C348" s="2">
        <v>277021</v>
      </c>
      <c r="D348" s="5">
        <f>+VLOOKUP(A348,Sheet6!A:D,4,0)</f>
        <v>0.19506597819850832</v>
      </c>
      <c r="E348" s="5">
        <f t="shared" si="5"/>
        <v>12.485393000573724</v>
      </c>
      <c r="F348" s="5" cm="1">
        <f t="array" ref="F348">_xlfn.IFS(
    AND(C348&gt;C$535,D348&lt;D$535),1,
    AND(C348&gt;C$535,D348&gt;D$535),2,
    AND(C348&lt;C$535,D348&lt;D$535),4,
    AND(C348&lt;C$535,D348&gt;D$535),3,
    TRUE,""
)</f>
        <v>2</v>
      </c>
    </row>
    <row r="349" spans="1:6" x14ac:dyDescent="0.35">
      <c r="A349" s="1" t="s">
        <v>233</v>
      </c>
      <c r="B349" s="2">
        <v>61513</v>
      </c>
      <c r="C349" s="2">
        <v>311235</v>
      </c>
      <c r="D349" s="5">
        <f>+VLOOKUP(A349,Sheet6!A:D,4,0)</f>
        <v>0.19502407704654895</v>
      </c>
      <c r="E349" s="5">
        <f t="shared" si="5"/>
        <v>11.996516051364367</v>
      </c>
      <c r="F349" s="5" cm="1">
        <f t="array" ref="F349">_xlfn.IFS(
    AND(C349&gt;C$535,D349&lt;D$535),1,
    AND(C349&gt;C$535,D349&gt;D$535),2,
    AND(C349&lt;C$535,D349&lt;D$535),4,
    AND(C349&lt;C$535,D349&gt;D$535),3,
    TRUE,""
)</f>
        <v>2</v>
      </c>
    </row>
    <row r="350" spans="1:6" x14ac:dyDescent="0.35">
      <c r="A350" s="1" t="s">
        <v>5</v>
      </c>
      <c r="B350" s="2">
        <v>10251</v>
      </c>
      <c r="C350" s="2">
        <v>287285</v>
      </c>
      <c r="D350" s="5">
        <f>+VLOOKUP(A350,Sheet6!A:D,4,0)</f>
        <v>0.19491525423728814</v>
      </c>
      <c r="E350" s="5">
        <f t="shared" si="5"/>
        <v>1.9980762711864408</v>
      </c>
      <c r="F350" s="5" cm="1">
        <f t="array" ref="F350">_xlfn.IFS(
    AND(C350&gt;C$535,D350&lt;D$535),1,
    AND(C350&gt;C$535,D350&gt;D$535),2,
    AND(C350&lt;C$535,D350&lt;D$535),4,
    AND(C350&lt;C$535,D350&gt;D$535),3,
    TRUE,""
)</f>
        <v>2</v>
      </c>
    </row>
    <row r="351" spans="1:6" x14ac:dyDescent="0.35">
      <c r="A351" s="1" t="s">
        <v>368</v>
      </c>
      <c r="B351" s="2">
        <v>6233</v>
      </c>
      <c r="C351" s="2">
        <v>154029</v>
      </c>
      <c r="D351" s="5">
        <f>+VLOOKUP(A351,Sheet6!A:D,4,0)</f>
        <v>0.19393939393939397</v>
      </c>
      <c r="E351" s="5">
        <f t="shared" si="5"/>
        <v>1.2088242424242426</v>
      </c>
      <c r="F351" s="5" cm="1">
        <f t="array" ref="F351">_xlfn.IFS(
    AND(C351&gt;C$535,D351&lt;D$535),1,
    AND(C351&gt;C$535,D351&gt;D$535),2,
    AND(C351&lt;C$535,D351&lt;D$535),4,
    AND(C351&lt;C$535,D351&gt;D$535),3,
    TRUE,""
)</f>
        <v>3</v>
      </c>
    </row>
    <row r="352" spans="1:6" x14ac:dyDescent="0.35">
      <c r="A352" s="1" t="s">
        <v>386</v>
      </c>
      <c r="B352" s="2">
        <v>67607</v>
      </c>
      <c r="C352" s="2">
        <v>258717</v>
      </c>
      <c r="D352" s="5">
        <f>+VLOOKUP(A352,Sheet6!A:D,4,0)</f>
        <v>0.19383521043272078</v>
      </c>
      <c r="E352" s="5">
        <f t="shared" si="5"/>
        <v>13.104617071724954</v>
      </c>
      <c r="F352" s="5" cm="1">
        <f t="array" ref="F352">_xlfn.IFS(
    AND(C352&gt;C$535,D352&lt;D$535),1,
    AND(C352&gt;C$535,D352&gt;D$535),2,
    AND(C352&lt;C$535,D352&lt;D$535),4,
    AND(C352&lt;C$535,D352&gt;D$535),3,
    TRUE,""
)</f>
        <v>2</v>
      </c>
    </row>
    <row r="353" spans="1:6" x14ac:dyDescent="0.35">
      <c r="A353" s="1" t="s">
        <v>92</v>
      </c>
      <c r="B353" s="2">
        <v>21271</v>
      </c>
      <c r="C353" s="2">
        <v>289502</v>
      </c>
      <c r="D353" s="5">
        <f>+VLOOKUP(A353,Sheet6!A:D,4,0)</f>
        <v>0.19327731092436976</v>
      </c>
      <c r="E353" s="5">
        <f t="shared" si="5"/>
        <v>4.1112016806722691</v>
      </c>
      <c r="F353" s="5" cm="1">
        <f t="array" ref="F353">_xlfn.IFS(
    AND(C353&gt;C$535,D353&lt;D$535),1,
    AND(C353&gt;C$535,D353&gt;D$535),2,
    AND(C353&lt;C$535,D353&lt;D$535),4,
    AND(C353&lt;C$535,D353&gt;D$535),3,
    TRUE,""
)</f>
        <v>2</v>
      </c>
    </row>
    <row r="354" spans="1:6" x14ac:dyDescent="0.35">
      <c r="A354" s="1" t="s">
        <v>378</v>
      </c>
      <c r="B354" s="2">
        <v>58563</v>
      </c>
      <c r="C354" s="1">
        <v>238.12</v>
      </c>
      <c r="D354" s="5">
        <f>+VLOOKUP(A354,Sheet6!A:D,4,0)</f>
        <v>0.19317356572258534</v>
      </c>
      <c r="E354" s="5">
        <f t="shared" si="5"/>
        <v>11.312823529411766</v>
      </c>
      <c r="F354" s="5" cm="1">
        <f t="array" ref="F354">_xlfn.IFS(
    AND(C354&gt;C$535,D354&lt;D$535),1,
    AND(C354&gt;C$535,D354&gt;D$535),2,
    AND(C354&lt;C$535,D354&lt;D$535),4,
    AND(C354&lt;C$535,D354&gt;D$535),3,
    TRUE,""
)</f>
        <v>3</v>
      </c>
    </row>
    <row r="355" spans="1:6" x14ac:dyDescent="0.35">
      <c r="A355" s="1" t="s">
        <v>38</v>
      </c>
      <c r="B355" s="2">
        <v>23104</v>
      </c>
      <c r="C355" s="2">
        <v>319557</v>
      </c>
      <c r="D355" s="5">
        <f>+VLOOKUP(A355,Sheet6!A:D,4,0)</f>
        <v>0.19298245614035089</v>
      </c>
      <c r="E355" s="5">
        <f t="shared" si="5"/>
        <v>4.4586666666666668</v>
      </c>
      <c r="F355" s="5" cm="1">
        <f t="array" ref="F355">_xlfn.IFS(
    AND(C355&gt;C$535,D355&lt;D$535),1,
    AND(C355&gt;C$535,D355&gt;D$535),2,
    AND(C355&lt;C$535,D355&lt;D$535),4,
    AND(C355&lt;C$535,D355&gt;D$535),3,
    TRUE,""
)</f>
        <v>2</v>
      </c>
    </row>
    <row r="356" spans="1:6" x14ac:dyDescent="0.35">
      <c r="A356" s="1" t="s">
        <v>223</v>
      </c>
      <c r="B356" s="1">
        <v>50.9</v>
      </c>
      <c r="C356" s="2">
        <v>280882</v>
      </c>
      <c r="D356" s="5">
        <f>+VLOOKUP(A356,Sheet6!A:D,4,0)</f>
        <v>0.19288256227758005</v>
      </c>
      <c r="E356" s="5">
        <f t="shared" si="5"/>
        <v>9.8177224199288236E-3</v>
      </c>
      <c r="F356" s="5" cm="1">
        <f t="array" ref="F356">_xlfn.IFS(
    AND(C356&gt;C$535,D356&lt;D$535),1,
    AND(C356&gt;C$535,D356&gt;D$535),2,
    AND(C356&lt;C$535,D356&lt;D$535),4,
    AND(C356&lt;C$535,D356&gt;D$535),3,
    TRUE,""
)</f>
        <v>2</v>
      </c>
    </row>
    <row r="357" spans="1:6" x14ac:dyDescent="0.35">
      <c r="A357" s="1" t="s">
        <v>247</v>
      </c>
      <c r="B357" s="2">
        <v>14348</v>
      </c>
      <c r="C357" s="2">
        <v>273061</v>
      </c>
      <c r="D357" s="5">
        <f>+VLOOKUP(A357,Sheet6!A:D,4,0)</f>
        <v>0.19285714285714289</v>
      </c>
      <c r="E357" s="5">
        <f t="shared" si="5"/>
        <v>2.7671142857142863</v>
      </c>
      <c r="F357" s="5" cm="1">
        <f t="array" ref="F357">_xlfn.IFS(
    AND(C357&gt;C$535,D357&lt;D$535),1,
    AND(C357&gt;C$535,D357&gt;D$535),2,
    AND(C357&lt;C$535,D357&lt;D$535),4,
    AND(C357&lt;C$535,D357&gt;D$535),3,
    TRUE,""
)</f>
        <v>2</v>
      </c>
    </row>
    <row r="358" spans="1:6" x14ac:dyDescent="0.35">
      <c r="A358" s="1" t="s">
        <v>39</v>
      </c>
      <c r="B358" s="2">
        <v>17777</v>
      </c>
      <c r="C358" s="2">
        <v>289987</v>
      </c>
      <c r="D358" s="5">
        <f>+VLOOKUP(A358,Sheet6!A:D,4,0)</f>
        <v>0.19285714285714289</v>
      </c>
      <c r="E358" s="5">
        <f t="shared" si="5"/>
        <v>3.4284214285714292</v>
      </c>
      <c r="F358" s="5" cm="1">
        <f t="array" ref="F358">_xlfn.IFS(
    AND(C358&gt;C$535,D358&lt;D$535),1,
    AND(C358&gt;C$535,D358&gt;D$535),2,
    AND(C358&lt;C$535,D358&lt;D$535),4,
    AND(C358&lt;C$535,D358&gt;D$535),3,
    TRUE,""
)</f>
        <v>2</v>
      </c>
    </row>
    <row r="359" spans="1:6" x14ac:dyDescent="0.35">
      <c r="A359" s="1" t="s">
        <v>4</v>
      </c>
      <c r="B359" s="2">
        <v>17249</v>
      </c>
      <c r="C359" s="2">
        <v>296661</v>
      </c>
      <c r="D359" s="5">
        <f>+VLOOKUP(A359,Sheet6!A:D,4,0)</f>
        <v>0.19277108433734938</v>
      </c>
      <c r="E359" s="5">
        <f t="shared" si="5"/>
        <v>3.3251084337349393</v>
      </c>
      <c r="F359" s="5" cm="1">
        <f t="array" ref="F359">_xlfn.IFS(
    AND(C359&gt;C$535,D359&lt;D$535),1,
    AND(C359&gt;C$535,D359&gt;D$535),2,
    AND(C359&lt;C$535,D359&lt;D$535),4,
    AND(C359&lt;C$535,D359&gt;D$535),3,
    TRUE,""
)</f>
        <v>2</v>
      </c>
    </row>
    <row r="360" spans="1:6" x14ac:dyDescent="0.35">
      <c r="A360" s="1" t="s">
        <v>304</v>
      </c>
      <c r="B360" s="2">
        <v>65085</v>
      </c>
      <c r="C360" s="2">
        <v>379963</v>
      </c>
      <c r="D360" s="5">
        <f>+VLOOKUP(A360,Sheet6!A:D,4,0)</f>
        <v>0.19219653179190752</v>
      </c>
      <c r="E360" s="5">
        <f t="shared" si="5"/>
        <v>12.5091112716763</v>
      </c>
      <c r="F360" s="5" cm="1">
        <f t="array" ref="F360">_xlfn.IFS(
    AND(C360&gt;C$535,D360&lt;D$535),1,
    AND(C360&gt;C$535,D360&gt;D$535),2,
    AND(C360&lt;C$535,D360&lt;D$535),4,
    AND(C360&lt;C$535,D360&gt;D$535),3,
    TRUE,""
)</f>
        <v>2</v>
      </c>
    </row>
    <row r="361" spans="1:6" x14ac:dyDescent="0.35">
      <c r="A361" s="1" t="s">
        <v>14</v>
      </c>
      <c r="B361" s="2">
        <v>11263</v>
      </c>
      <c r="C361" s="2">
        <v>214593</v>
      </c>
      <c r="D361" s="5">
        <f>+VLOOKUP(A361,Sheet6!A:D,4,0)</f>
        <v>0.19205298013245031</v>
      </c>
      <c r="E361" s="5">
        <f t="shared" si="5"/>
        <v>2.1630927152317878</v>
      </c>
      <c r="F361" s="5" cm="1">
        <f t="array" ref="F361">_xlfn.IFS(
    AND(C361&gt;C$535,D361&lt;D$535),1,
    AND(C361&gt;C$535,D361&gt;D$535),2,
    AND(C361&lt;C$535,D361&lt;D$535),4,
    AND(C361&lt;C$535,D361&gt;D$535),3,
    TRUE,""
)</f>
        <v>2</v>
      </c>
    </row>
    <row r="362" spans="1:6" x14ac:dyDescent="0.35">
      <c r="A362" s="1" t="s">
        <v>511</v>
      </c>
      <c r="B362" s="2">
        <v>28765</v>
      </c>
      <c r="C362" s="2">
        <v>299949</v>
      </c>
      <c r="D362" s="5">
        <f>+VLOOKUP(A362,Sheet6!A:D,4,0)</f>
        <v>0.19152542372881354</v>
      </c>
      <c r="E362" s="5">
        <f t="shared" si="5"/>
        <v>5.5092288135593215</v>
      </c>
      <c r="F362" s="5" cm="1">
        <f t="array" ref="F362">_xlfn.IFS(
    AND(C362&gt;C$535,D362&lt;D$535),1,
    AND(C362&gt;C$535,D362&gt;D$535),2,
    AND(C362&lt;C$535,D362&lt;D$535),4,
    AND(C362&lt;C$535,D362&gt;D$535),3,
    TRUE,""
)</f>
        <v>2</v>
      </c>
    </row>
    <row r="363" spans="1:6" x14ac:dyDescent="0.35">
      <c r="A363" s="1" t="s">
        <v>198</v>
      </c>
      <c r="B363" s="2">
        <v>42112</v>
      </c>
      <c r="C363" s="2">
        <v>251023</v>
      </c>
      <c r="D363" s="5">
        <f>+VLOOKUP(A363,Sheet6!A:D,4,0)</f>
        <v>0.19103773584905662</v>
      </c>
      <c r="E363" s="5">
        <f t="shared" ref="E363:E426" si="6">(B363*D363)/1000</f>
        <v>8.0449811320754723</v>
      </c>
      <c r="F363" s="5" cm="1">
        <f t="array" ref="F363">_xlfn.IFS(
    AND(C363&gt;C$535,D363&lt;D$535),1,
    AND(C363&gt;C$535,D363&gt;D$535),2,
    AND(C363&lt;C$535,D363&lt;D$535),4,
    AND(C363&lt;C$535,D363&gt;D$535),3,
    TRUE,""
)</f>
        <v>2</v>
      </c>
    </row>
    <row r="364" spans="1:6" x14ac:dyDescent="0.35">
      <c r="A364" s="1" t="s">
        <v>461</v>
      </c>
      <c r="B364" s="2">
        <v>62748</v>
      </c>
      <c r="C364" s="2">
        <v>323007</v>
      </c>
      <c r="D364" s="5">
        <f>+VLOOKUP(A364,Sheet6!A:D,4,0)</f>
        <v>0.1908665105386417</v>
      </c>
      <c r="E364" s="5">
        <f t="shared" si="6"/>
        <v>11.976491803278689</v>
      </c>
      <c r="F364" s="5" cm="1">
        <f t="array" ref="F364">_xlfn.IFS(
    AND(C364&gt;C$535,D364&lt;D$535),1,
    AND(C364&gt;C$535,D364&gt;D$535),2,
    AND(C364&lt;C$535,D364&lt;D$535),4,
    AND(C364&lt;C$535,D364&gt;D$535),3,
    TRUE,""
)</f>
        <v>2</v>
      </c>
    </row>
    <row r="365" spans="1:6" x14ac:dyDescent="0.35">
      <c r="A365" s="1" t="s">
        <v>153</v>
      </c>
      <c r="B365" s="2">
        <v>2483</v>
      </c>
      <c r="C365" s="2">
        <v>334691</v>
      </c>
      <c r="D365" s="5">
        <f>+VLOOKUP(A365,Sheet6!A:D,4,0)</f>
        <v>0.19047619047619049</v>
      </c>
      <c r="E365" s="5">
        <f t="shared" si="6"/>
        <v>0.47295238095238101</v>
      </c>
      <c r="F365" s="5" cm="1">
        <f t="array" ref="F365">_xlfn.IFS(
    AND(C365&gt;C$535,D365&lt;D$535),1,
    AND(C365&gt;C$535,D365&gt;D$535),2,
    AND(C365&lt;C$535,D365&lt;D$535),4,
    AND(C365&lt;C$535,D365&gt;D$535),3,
    TRUE,""
)</f>
        <v>2</v>
      </c>
    </row>
    <row r="366" spans="1:6" x14ac:dyDescent="0.35">
      <c r="A366" s="1" t="s">
        <v>257</v>
      </c>
      <c r="B366" s="1">
        <v>43.22</v>
      </c>
      <c r="C366" s="2">
        <v>270546</v>
      </c>
      <c r="D366" s="5">
        <f>+VLOOKUP(A366,Sheet6!A:D,4,0)</f>
        <v>0.19043887147335425</v>
      </c>
      <c r="E366" s="5">
        <f t="shared" si="6"/>
        <v>8.2307680250783711E-3</v>
      </c>
      <c r="F366" s="5" cm="1">
        <f t="array" ref="F366">_xlfn.IFS(
    AND(C366&gt;C$535,D366&lt;D$535),1,
    AND(C366&gt;C$535,D366&gt;D$535),2,
    AND(C366&lt;C$535,D366&lt;D$535),4,
    AND(C366&lt;C$535,D366&gt;D$535),3,
    TRUE,""
)</f>
        <v>2</v>
      </c>
    </row>
    <row r="367" spans="1:6" x14ac:dyDescent="0.35">
      <c r="A367" s="1" t="s">
        <v>380</v>
      </c>
      <c r="B367" s="2">
        <v>76673</v>
      </c>
      <c r="C367" s="2">
        <v>220363</v>
      </c>
      <c r="D367" s="5">
        <f>+VLOOKUP(A367,Sheet6!A:D,4,0)</f>
        <v>0.19020501138952164</v>
      </c>
      <c r="E367" s="5">
        <f t="shared" si="6"/>
        <v>14.583588838268794</v>
      </c>
      <c r="F367" s="5" cm="1">
        <f t="array" ref="F367">_xlfn.IFS(
    AND(C367&gt;C$535,D367&lt;D$535),1,
    AND(C367&gt;C$535,D367&gt;D$535),2,
    AND(C367&lt;C$535,D367&lt;D$535),4,
    AND(C367&lt;C$535,D367&gt;D$535),3,
    TRUE,""
)</f>
        <v>2</v>
      </c>
    </row>
    <row r="368" spans="1:6" x14ac:dyDescent="0.35">
      <c r="A368" s="1" t="s">
        <v>203</v>
      </c>
      <c r="B368" s="2">
        <v>56699</v>
      </c>
      <c r="C368" s="2">
        <v>218416</v>
      </c>
      <c r="D368" s="5">
        <f>+VLOOKUP(A368,Sheet6!A:D,4,0)</f>
        <v>0.19002822201317027</v>
      </c>
      <c r="E368" s="5">
        <f t="shared" si="6"/>
        <v>10.77441015992474</v>
      </c>
      <c r="F368" s="5" cm="1">
        <f t="array" ref="F368">_xlfn.IFS(
    AND(C368&gt;C$535,D368&lt;D$535),1,
    AND(C368&gt;C$535,D368&gt;D$535),2,
    AND(C368&lt;C$535,D368&lt;D$535),4,
    AND(C368&lt;C$535,D368&gt;D$535),3,
    TRUE,""
)</f>
        <v>2</v>
      </c>
    </row>
    <row r="369" spans="1:6" x14ac:dyDescent="0.35">
      <c r="A369" s="1" t="s">
        <v>253</v>
      </c>
      <c r="B369" s="2">
        <v>76089</v>
      </c>
      <c r="C369" s="2">
        <v>200595</v>
      </c>
      <c r="D369" s="5">
        <f>+VLOOKUP(A369,Sheet6!A:D,4,0)</f>
        <v>0.189556135770235</v>
      </c>
      <c r="E369" s="5">
        <f t="shared" si="6"/>
        <v>14.423136814621412</v>
      </c>
      <c r="F369" s="5" cm="1">
        <f t="array" ref="F369">_xlfn.IFS(
    AND(C369&gt;C$535,D369&lt;D$535),1,
    AND(C369&gt;C$535,D369&gt;D$535),2,
    AND(C369&lt;C$535,D369&lt;D$535),4,
    AND(C369&lt;C$535,D369&gt;D$535),3,
    TRUE,""
)</f>
        <v>3</v>
      </c>
    </row>
    <row r="370" spans="1:6" x14ac:dyDescent="0.35">
      <c r="A370" s="1" t="s">
        <v>537</v>
      </c>
      <c r="B370" s="2">
        <v>11573</v>
      </c>
      <c r="C370" s="2">
        <v>309267</v>
      </c>
      <c r="D370" s="5">
        <f>+VLOOKUP(A370,Sheet6!A:D,4,0)</f>
        <v>0.18852459016393444</v>
      </c>
      <c r="E370" s="5">
        <f t="shared" si="6"/>
        <v>2.1817950819672132</v>
      </c>
      <c r="F370" s="5" cm="1">
        <f t="array" ref="F370">_xlfn.IFS(
    AND(C370&gt;C$535,D370&lt;D$535),1,
    AND(C370&gt;C$535,D370&gt;D$535),2,
    AND(C370&lt;C$535,D370&lt;D$535),4,
    AND(C370&lt;C$535,D370&gt;D$535),3,
    TRUE,""
)</f>
        <v>2</v>
      </c>
    </row>
    <row r="371" spans="1:6" x14ac:dyDescent="0.35">
      <c r="A371" s="1" t="s">
        <v>280</v>
      </c>
      <c r="B371" s="2">
        <v>68836</v>
      </c>
      <c r="C371" s="2">
        <v>293232</v>
      </c>
      <c r="D371" s="5">
        <f>+VLOOKUP(A371,Sheet6!A:D,4,0)</f>
        <v>0.18822674418604651</v>
      </c>
      <c r="E371" s="5">
        <f t="shared" si="6"/>
        <v>12.956776162790698</v>
      </c>
      <c r="F371" s="5" cm="1">
        <f t="array" ref="F371">_xlfn.IFS(
    AND(C371&gt;C$535,D371&lt;D$535),1,
    AND(C371&gt;C$535,D371&gt;D$535),2,
    AND(C371&lt;C$535,D371&lt;D$535),4,
    AND(C371&lt;C$535,D371&gt;D$535),3,
    TRUE,""
)</f>
        <v>2</v>
      </c>
    </row>
    <row r="372" spans="1:6" x14ac:dyDescent="0.35">
      <c r="A372" s="1" t="s">
        <v>270</v>
      </c>
      <c r="B372" s="2">
        <v>36156</v>
      </c>
      <c r="C372" s="1">
        <v>296.19</v>
      </c>
      <c r="D372" s="5">
        <f>+VLOOKUP(A372,Sheet6!A:D,4,0)</f>
        <v>0.1879815100154083</v>
      </c>
      <c r="E372" s="5">
        <f t="shared" si="6"/>
        <v>6.7966594761171031</v>
      </c>
      <c r="F372" s="5" cm="1">
        <f t="array" ref="F372">_xlfn.IFS(
    AND(C372&gt;C$535,D372&lt;D$535),1,
    AND(C372&gt;C$535,D372&gt;D$535),2,
    AND(C372&lt;C$535,D372&lt;D$535),4,
    AND(C372&lt;C$535,D372&gt;D$535),3,
    TRUE,""
)</f>
        <v>3</v>
      </c>
    </row>
    <row r="373" spans="1:6" x14ac:dyDescent="0.35">
      <c r="A373" s="1" t="s">
        <v>79</v>
      </c>
      <c r="B373" s="2">
        <v>34298</v>
      </c>
      <c r="C373" s="2">
        <v>252957</v>
      </c>
      <c r="D373" s="5">
        <f>+VLOOKUP(A373,Sheet6!A:D,4,0)</f>
        <v>0.18757921419518378</v>
      </c>
      <c r="E373" s="5">
        <f t="shared" si="6"/>
        <v>6.4335918884664132</v>
      </c>
      <c r="F373" s="5" cm="1">
        <f t="array" ref="F373">_xlfn.IFS(
    AND(C373&gt;C$535,D373&lt;D$535),1,
    AND(C373&gt;C$535,D373&gt;D$535),2,
    AND(C373&lt;C$535,D373&lt;D$535),4,
    AND(C373&lt;C$535,D373&gt;D$535),3,
    TRUE,""
)</f>
        <v>2</v>
      </c>
    </row>
    <row r="374" spans="1:6" x14ac:dyDescent="0.35">
      <c r="A374" s="1" t="s">
        <v>376</v>
      </c>
      <c r="B374" s="2">
        <v>7087</v>
      </c>
      <c r="C374" s="2">
        <v>207716</v>
      </c>
      <c r="D374" s="5">
        <f>+VLOOKUP(A374,Sheet6!A:D,4,0)</f>
        <v>0.18750000000000003</v>
      </c>
      <c r="E374" s="5">
        <f t="shared" si="6"/>
        <v>1.3288125000000002</v>
      </c>
      <c r="F374" s="5" cm="1">
        <f t="array" ref="F374">_xlfn.IFS(
    AND(C374&gt;C$535,D374&lt;D$535),1,
    AND(C374&gt;C$535,D374&gt;D$535),2,
    AND(C374&lt;C$535,D374&lt;D$535),4,
    AND(C374&lt;C$535,D374&gt;D$535),3,
    TRUE,""
)</f>
        <v>3</v>
      </c>
    </row>
    <row r="375" spans="1:6" x14ac:dyDescent="0.35">
      <c r="A375" s="1" t="s">
        <v>17</v>
      </c>
      <c r="B375" s="2">
        <v>13651</v>
      </c>
      <c r="C375" s="1">
        <v>229.72</v>
      </c>
      <c r="D375" s="5">
        <f>+VLOOKUP(A375,Sheet6!A:D,4,0)</f>
        <v>0.18749999999999997</v>
      </c>
      <c r="E375" s="5">
        <f t="shared" si="6"/>
        <v>2.5595624999999997</v>
      </c>
      <c r="F375" s="5" cm="1">
        <f t="array" ref="F375">_xlfn.IFS(
    AND(C375&gt;C$535,D375&lt;D$535),1,
    AND(C375&gt;C$535,D375&gt;D$535),2,
    AND(C375&lt;C$535,D375&lt;D$535),4,
    AND(C375&lt;C$535,D375&gt;D$535),3,
    TRUE,""
)</f>
        <v>3</v>
      </c>
    </row>
    <row r="376" spans="1:6" x14ac:dyDescent="0.35">
      <c r="A376" s="1" t="s">
        <v>175</v>
      </c>
      <c r="B376" s="2">
        <v>7164</v>
      </c>
      <c r="C376" s="1">
        <v>198.07</v>
      </c>
      <c r="D376" s="5">
        <f>+VLOOKUP(A376,Sheet6!A:D,4,0)</f>
        <v>0.18699186991869921</v>
      </c>
      <c r="E376" s="5">
        <f t="shared" si="6"/>
        <v>1.3396097560975611</v>
      </c>
      <c r="F376" s="5" cm="1">
        <f t="array" ref="F376">_xlfn.IFS(
    AND(C376&gt;C$535,D376&lt;D$535),1,
    AND(C376&gt;C$535,D376&gt;D$535),2,
    AND(C376&lt;C$535,D376&lt;D$535),4,
    AND(C376&lt;C$535,D376&gt;D$535),3,
    TRUE,""
)</f>
        <v>3</v>
      </c>
    </row>
    <row r="377" spans="1:6" x14ac:dyDescent="0.35">
      <c r="A377" s="1" t="s">
        <v>19</v>
      </c>
      <c r="B377" s="2">
        <v>11725</v>
      </c>
      <c r="C377" s="2">
        <v>264648</v>
      </c>
      <c r="D377" s="5">
        <f>+VLOOKUP(A377,Sheet6!A:D,4,0)</f>
        <v>0.18695652173913044</v>
      </c>
      <c r="E377" s="5">
        <f t="shared" si="6"/>
        <v>2.1920652173913044</v>
      </c>
      <c r="F377" s="5" cm="1">
        <f t="array" ref="F377">_xlfn.IFS(
    AND(C377&gt;C$535,D377&lt;D$535),1,
    AND(C377&gt;C$535,D377&gt;D$535),2,
    AND(C377&lt;C$535,D377&lt;D$535),4,
    AND(C377&lt;C$535,D377&gt;D$535),3,
    TRUE,""
)</f>
        <v>2</v>
      </c>
    </row>
    <row r="378" spans="1:6" x14ac:dyDescent="0.35">
      <c r="A378" s="1" t="s">
        <v>163</v>
      </c>
      <c r="B378" s="2">
        <v>5979</v>
      </c>
      <c r="C378" s="2">
        <v>171099</v>
      </c>
      <c r="D378" s="5">
        <f>+VLOOKUP(A378,Sheet6!A:D,4,0)</f>
        <v>0.18666666666666668</v>
      </c>
      <c r="E378" s="5">
        <f t="shared" si="6"/>
        <v>1.1160800000000002</v>
      </c>
      <c r="F378" s="5" cm="1">
        <f t="array" ref="F378">_xlfn.IFS(
    AND(C378&gt;C$535,D378&lt;D$535),1,
    AND(C378&gt;C$535,D378&gt;D$535),2,
    AND(C378&lt;C$535,D378&lt;D$535),4,
    AND(C378&lt;C$535,D378&gt;D$535),3,
    TRUE,""
)</f>
        <v>3</v>
      </c>
    </row>
    <row r="379" spans="1:6" x14ac:dyDescent="0.35">
      <c r="A379" s="1" t="s">
        <v>178</v>
      </c>
      <c r="B379" s="1">
        <v>76.31</v>
      </c>
      <c r="C379" s="2">
        <v>338434</v>
      </c>
      <c r="D379" s="5">
        <f>+VLOOKUP(A379,Sheet6!A:D,4,0)</f>
        <v>0.18657298985167839</v>
      </c>
      <c r="E379" s="5">
        <f t="shared" si="6"/>
        <v>1.4237384855581578E-2</v>
      </c>
      <c r="F379" s="5" cm="1">
        <f t="array" ref="F379">_xlfn.IFS(
    AND(C379&gt;C$535,D379&lt;D$535),1,
    AND(C379&gt;C$535,D379&gt;D$535),2,
    AND(C379&lt;C$535,D379&lt;D$535),4,
    AND(C379&lt;C$535,D379&gt;D$535),3,
    TRUE,""
)</f>
        <v>2</v>
      </c>
    </row>
    <row r="380" spans="1:6" x14ac:dyDescent="0.35">
      <c r="A380" s="1" t="s">
        <v>189</v>
      </c>
      <c r="B380" s="2">
        <v>32151</v>
      </c>
      <c r="C380" s="2">
        <v>419921</v>
      </c>
      <c r="D380" s="5">
        <f>+VLOOKUP(A380,Sheet6!A:D,4,0)</f>
        <v>0.18386491557223264</v>
      </c>
      <c r="E380" s="5">
        <f t="shared" si="6"/>
        <v>5.9114409005628517</v>
      </c>
      <c r="F380" s="5" cm="1">
        <f t="array" ref="F380">_xlfn.IFS(
    AND(C380&gt;C$535,D380&lt;D$535),1,
    AND(C380&gt;C$535,D380&gt;D$535),2,
    AND(C380&lt;C$535,D380&lt;D$535),4,
    AND(C380&lt;C$535,D380&gt;D$535),3,
    TRUE,""
)</f>
        <v>2</v>
      </c>
    </row>
    <row r="381" spans="1:6" x14ac:dyDescent="0.35">
      <c r="A381" s="1" t="s">
        <v>484</v>
      </c>
      <c r="B381" s="2">
        <v>63001</v>
      </c>
      <c r="C381" s="2">
        <v>316712</v>
      </c>
      <c r="D381" s="5">
        <f>+VLOOKUP(A381,Sheet6!A:D,4,0)</f>
        <v>0.18384766907419564</v>
      </c>
      <c r="E381" s="5">
        <f t="shared" si="6"/>
        <v>11.582586999343398</v>
      </c>
      <c r="F381" s="5" cm="1">
        <f t="array" ref="F381">_xlfn.IFS(
    AND(C381&gt;C$535,D381&lt;D$535),1,
    AND(C381&gt;C$535,D381&gt;D$535),2,
    AND(C381&lt;C$535,D381&lt;D$535),4,
    AND(C381&lt;C$535,D381&gt;D$535),3,
    TRUE,""
)</f>
        <v>2</v>
      </c>
    </row>
    <row r="382" spans="1:6" x14ac:dyDescent="0.35">
      <c r="A382" s="1" t="s">
        <v>120</v>
      </c>
      <c r="B382" s="2">
        <v>26567</v>
      </c>
      <c r="C382" s="2">
        <v>355289</v>
      </c>
      <c r="D382" s="5">
        <f>+VLOOKUP(A382,Sheet6!A:D,4,0)</f>
        <v>0.18337408312958436</v>
      </c>
      <c r="E382" s="5">
        <f t="shared" si="6"/>
        <v>4.8716992665036676</v>
      </c>
      <c r="F382" s="5" cm="1">
        <f t="array" ref="F382">_xlfn.IFS(
    AND(C382&gt;C$535,D382&lt;D$535),1,
    AND(C382&gt;C$535,D382&gt;D$535),2,
    AND(C382&lt;C$535,D382&lt;D$535),4,
    AND(C382&lt;C$535,D382&gt;D$535),3,
    TRUE,""
)</f>
        <v>2</v>
      </c>
    </row>
    <row r="383" spans="1:6" x14ac:dyDescent="0.35">
      <c r="A383" s="1" t="s">
        <v>414</v>
      </c>
      <c r="B383" s="2">
        <v>54285</v>
      </c>
      <c r="C383" s="1">
        <v>363.8</v>
      </c>
      <c r="D383" s="5">
        <f>+VLOOKUP(A383,Sheet6!A:D,4,0)</f>
        <v>0.18297101449275363</v>
      </c>
      <c r="E383" s="5">
        <f t="shared" si="6"/>
        <v>9.9325815217391309</v>
      </c>
      <c r="F383" s="5" cm="1">
        <f t="array" ref="F383">_xlfn.IFS(
    AND(C383&gt;C$535,D383&lt;D$535),1,
    AND(C383&gt;C$535,D383&gt;D$535),2,
    AND(C383&lt;C$535,D383&lt;D$535),4,
    AND(C383&lt;C$535,D383&gt;D$535),3,
    TRUE,""
)</f>
        <v>3</v>
      </c>
    </row>
    <row r="384" spans="1:6" x14ac:dyDescent="0.35">
      <c r="A384" s="1" t="s">
        <v>249</v>
      </c>
      <c r="B384" s="2">
        <v>24236</v>
      </c>
      <c r="C384" s="1">
        <v>308.67</v>
      </c>
      <c r="D384" s="5">
        <f>+VLOOKUP(A384,Sheet6!A:D,4,0)</f>
        <v>0.18202764976958527</v>
      </c>
      <c r="E384" s="5">
        <f t="shared" si="6"/>
        <v>4.411622119815668</v>
      </c>
      <c r="F384" s="5" cm="1">
        <f t="array" ref="F384">_xlfn.IFS(
    AND(C384&gt;C$535,D384&lt;D$535),1,
    AND(C384&gt;C$535,D384&gt;D$535),2,
    AND(C384&lt;C$535,D384&lt;D$535),4,
    AND(C384&lt;C$535,D384&gt;D$535),3,
    TRUE,""
)</f>
        <v>3</v>
      </c>
    </row>
    <row r="385" spans="1:6" x14ac:dyDescent="0.35">
      <c r="A385" s="1" t="s">
        <v>479</v>
      </c>
      <c r="B385" s="2">
        <v>2876</v>
      </c>
      <c r="C385" s="2">
        <v>174199</v>
      </c>
      <c r="D385" s="5">
        <f>+VLOOKUP(A385,Sheet6!A:D,4,0)</f>
        <v>0.1818181818181818</v>
      </c>
      <c r="E385" s="5">
        <f t="shared" si="6"/>
        <v>0.52290909090909088</v>
      </c>
      <c r="F385" s="5" cm="1">
        <f t="array" ref="F385">_xlfn.IFS(
    AND(C385&gt;C$535,D385&lt;D$535),1,
    AND(C385&gt;C$535,D385&gt;D$535),2,
    AND(C385&lt;C$535,D385&lt;D$535),4,
    AND(C385&lt;C$535,D385&gt;D$535),3,
    TRUE,""
)</f>
        <v>3</v>
      </c>
    </row>
    <row r="386" spans="1:6" x14ac:dyDescent="0.35">
      <c r="A386" s="1" t="s">
        <v>546</v>
      </c>
      <c r="B386" s="1">
        <v>2.59</v>
      </c>
      <c r="C386" s="2">
        <v>182243</v>
      </c>
      <c r="D386" s="5">
        <f>+VLOOKUP(A386,Sheet6!A:D,4,0)</f>
        <v>0.1818181818181818</v>
      </c>
      <c r="E386" s="5">
        <f t="shared" si="6"/>
        <v>4.7090909090909084E-4</v>
      </c>
      <c r="F386" s="5" cm="1">
        <f t="array" ref="F386">_xlfn.IFS(
    AND(C386&gt;C$535,D386&lt;D$535),1,
    AND(C386&gt;C$535,D386&gt;D$535),2,
    AND(C386&lt;C$535,D386&lt;D$535),4,
    AND(C386&lt;C$535,D386&gt;D$535),3,
    TRUE,""
)</f>
        <v>3</v>
      </c>
    </row>
    <row r="387" spans="1:6" x14ac:dyDescent="0.35">
      <c r="A387" s="1" t="s">
        <v>305</v>
      </c>
      <c r="B387" s="2">
        <v>69299</v>
      </c>
      <c r="C387" s="2">
        <v>254476</v>
      </c>
      <c r="D387" s="5">
        <f>+VLOOKUP(A387,Sheet6!A:D,4,0)</f>
        <v>0.18159408381265407</v>
      </c>
      <c r="E387" s="5">
        <f t="shared" si="6"/>
        <v>12.584288414133114</v>
      </c>
      <c r="F387" s="5" cm="1">
        <f t="array" ref="F387">_xlfn.IFS(
    AND(C387&gt;C$535,D387&lt;D$535),1,
    AND(C387&gt;C$535,D387&gt;D$535),2,
    AND(C387&lt;C$535,D387&lt;D$535),4,
    AND(C387&lt;C$535,D387&gt;D$535),3,
    TRUE,""
)</f>
        <v>2</v>
      </c>
    </row>
    <row r="388" spans="1:6" x14ac:dyDescent="0.35">
      <c r="A388" s="1" t="s">
        <v>224</v>
      </c>
      <c r="B388" s="2">
        <v>7088</v>
      </c>
      <c r="C388" s="2">
        <v>162114</v>
      </c>
      <c r="D388" s="5">
        <f>+VLOOKUP(A388,Sheet6!A:D,4,0)</f>
        <v>0.18120805369127518</v>
      </c>
      <c r="E388" s="5">
        <f t="shared" si="6"/>
        <v>1.2844026845637586</v>
      </c>
      <c r="F388" s="5" cm="1">
        <f t="array" ref="F388">_xlfn.IFS(
    AND(C388&gt;C$535,D388&lt;D$535),1,
    AND(C388&gt;C$535,D388&gt;D$535),2,
    AND(C388&lt;C$535,D388&lt;D$535),4,
    AND(C388&lt;C$535,D388&gt;D$535),3,
    TRUE,""
)</f>
        <v>3</v>
      </c>
    </row>
    <row r="389" spans="1:6" x14ac:dyDescent="0.35">
      <c r="A389" s="1" t="s">
        <v>18</v>
      </c>
      <c r="B389" s="2">
        <v>9589</v>
      </c>
      <c r="C389" s="2">
        <v>250601</v>
      </c>
      <c r="D389" s="5">
        <f>+VLOOKUP(A389,Sheet6!A:D,4,0)</f>
        <v>0.18120805369127518</v>
      </c>
      <c r="E389" s="5">
        <f t="shared" si="6"/>
        <v>1.7376040268456376</v>
      </c>
      <c r="F389" s="5" cm="1">
        <f t="array" ref="F389">_xlfn.IFS(
    AND(C389&gt;C$535,D389&lt;D$535),1,
    AND(C389&gt;C$535,D389&gt;D$535),2,
    AND(C389&lt;C$535,D389&lt;D$535),4,
    AND(C389&lt;C$535,D389&gt;D$535),3,
    TRUE,""
)</f>
        <v>2</v>
      </c>
    </row>
    <row r="390" spans="1:6" x14ac:dyDescent="0.35">
      <c r="A390" s="1" t="s">
        <v>308</v>
      </c>
      <c r="B390" s="2">
        <v>69583</v>
      </c>
      <c r="C390" s="2">
        <v>192159</v>
      </c>
      <c r="D390" s="5">
        <f>+VLOOKUP(A390,Sheet6!A:D,4,0)</f>
        <v>0.18097281831187409</v>
      </c>
      <c r="E390" s="5">
        <f t="shared" si="6"/>
        <v>12.592631616595133</v>
      </c>
      <c r="F390" s="5" cm="1">
        <f t="array" ref="F390">_xlfn.IFS(
    AND(C390&gt;C$535,D390&lt;D$535),1,
    AND(C390&gt;C$535,D390&gt;D$535),2,
    AND(C390&lt;C$535,D390&lt;D$535),4,
    AND(C390&lt;C$535,D390&gt;D$535),3,
    TRUE,""
)</f>
        <v>3</v>
      </c>
    </row>
    <row r="391" spans="1:6" x14ac:dyDescent="0.35">
      <c r="A391" s="1" t="s">
        <v>493</v>
      </c>
      <c r="B391" s="2">
        <v>78924</v>
      </c>
      <c r="C391" s="2">
        <v>235518</v>
      </c>
      <c r="D391" s="5">
        <f>+VLOOKUP(A391,Sheet6!A:D,4,0)</f>
        <v>0.18015824710894704</v>
      </c>
      <c r="E391" s="5">
        <f t="shared" si="6"/>
        <v>14.218809494826537</v>
      </c>
      <c r="F391" s="5" cm="1">
        <f t="array" ref="F391">_xlfn.IFS(
    AND(C391&gt;C$535,D391&lt;D$535),1,
    AND(C391&gt;C$535,D391&gt;D$535),2,
    AND(C391&lt;C$535,D391&lt;D$535),4,
    AND(C391&lt;C$535,D391&gt;D$535),3,
    TRUE,""
)</f>
        <v>2</v>
      </c>
    </row>
    <row r="392" spans="1:6" x14ac:dyDescent="0.35">
      <c r="A392" s="1" t="s">
        <v>90</v>
      </c>
      <c r="B392" s="2">
        <v>10196</v>
      </c>
      <c r="C392" s="2">
        <v>272155</v>
      </c>
      <c r="D392" s="5">
        <f>+VLOOKUP(A392,Sheet6!A:D,4,0)</f>
        <v>0.18</v>
      </c>
      <c r="E392" s="5">
        <f t="shared" si="6"/>
        <v>1.83528</v>
      </c>
      <c r="F392" s="5" cm="1">
        <f t="array" ref="F392">_xlfn.IFS(
    AND(C392&gt;C$535,D392&lt;D$535),1,
    AND(C392&gt;C$535,D392&gt;D$535),2,
    AND(C392&lt;C$535,D392&lt;D$535),4,
    AND(C392&lt;C$535,D392&gt;D$535),3,
    TRUE,""
)</f>
        <v>2</v>
      </c>
    </row>
    <row r="393" spans="1:6" x14ac:dyDescent="0.35">
      <c r="A393" s="1" t="s">
        <v>503</v>
      </c>
      <c r="B393" s="2">
        <v>14211</v>
      </c>
      <c r="C393" s="2">
        <v>428678</v>
      </c>
      <c r="D393" s="5">
        <f>+VLOOKUP(A393,Sheet6!A:D,4,0)</f>
        <v>0.17955801104972377</v>
      </c>
      <c r="E393" s="5">
        <f t="shared" si="6"/>
        <v>2.5516988950276245</v>
      </c>
      <c r="F393" s="5" cm="1">
        <f t="array" ref="F393">_xlfn.IFS(
    AND(C393&gt;C$535,D393&lt;D$535),1,
    AND(C393&gt;C$535,D393&gt;D$535),2,
    AND(C393&lt;C$535,D393&lt;D$535),4,
    AND(C393&lt;C$535,D393&gt;D$535),3,
    TRUE,""
)</f>
        <v>2</v>
      </c>
    </row>
    <row r="394" spans="1:6" x14ac:dyDescent="0.35">
      <c r="A394" s="1" t="s">
        <v>337</v>
      </c>
      <c r="B394" s="1">
        <v>30.39</v>
      </c>
      <c r="C394" s="1">
        <v>284.37</v>
      </c>
      <c r="D394" s="5">
        <f>+VLOOKUP(A394,Sheet6!A:D,4,0)</f>
        <v>0.17871485943775098</v>
      </c>
      <c r="E394" s="5">
        <f t="shared" si="6"/>
        <v>5.431144578313252E-3</v>
      </c>
      <c r="F394" s="5" cm="1">
        <f t="array" ref="F394">_xlfn.IFS(
    AND(C394&gt;C$535,D394&lt;D$535),1,
    AND(C394&gt;C$535,D394&gt;D$535),2,
    AND(C394&lt;C$535,D394&lt;D$535),4,
    AND(C394&lt;C$535,D394&gt;D$535),3,
    TRUE,""
)</f>
        <v>3</v>
      </c>
    </row>
    <row r="395" spans="1:6" x14ac:dyDescent="0.35">
      <c r="A395" s="1" t="s">
        <v>379</v>
      </c>
      <c r="B395" s="2">
        <v>56921</v>
      </c>
      <c r="C395" s="2">
        <v>279738</v>
      </c>
      <c r="D395" s="5">
        <f>+VLOOKUP(A395,Sheet6!A:D,4,0)</f>
        <v>0.17786308381317975</v>
      </c>
      <c r="E395" s="5">
        <f t="shared" si="6"/>
        <v>10.124144593730005</v>
      </c>
      <c r="F395" s="5" cm="1">
        <f t="array" ref="F395">_xlfn.IFS(
    AND(C395&gt;C$535,D395&lt;D$535),1,
    AND(C395&gt;C$535,D395&gt;D$535),2,
    AND(C395&lt;C$535,D395&lt;D$535),4,
    AND(C395&lt;C$535,D395&gt;D$535),3,
    TRUE,""
)</f>
        <v>2</v>
      </c>
    </row>
    <row r="396" spans="1:6" x14ac:dyDescent="0.35">
      <c r="A396" s="1" t="s">
        <v>392</v>
      </c>
      <c r="B396" s="2">
        <v>2548</v>
      </c>
      <c r="C396" s="1">
        <v>276.27999999999997</v>
      </c>
      <c r="D396" s="5">
        <f>+VLOOKUP(A396,Sheet6!A:D,4,0)</f>
        <v>0.17777777777777778</v>
      </c>
      <c r="E396" s="5">
        <f t="shared" si="6"/>
        <v>0.45297777777777781</v>
      </c>
      <c r="F396" s="5" cm="1">
        <f t="array" ref="F396">_xlfn.IFS(
    AND(C396&gt;C$535,D396&lt;D$535),1,
    AND(C396&gt;C$535,D396&gt;D$535),2,
    AND(C396&lt;C$535,D396&lt;D$535),4,
    AND(C396&lt;C$535,D396&gt;D$535),3,
    TRUE,""
)</f>
        <v>3</v>
      </c>
    </row>
    <row r="397" spans="1:6" x14ac:dyDescent="0.35">
      <c r="A397" s="1" t="s">
        <v>396</v>
      </c>
      <c r="B397" s="2">
        <v>65229</v>
      </c>
      <c r="C397" s="2">
        <v>260635</v>
      </c>
      <c r="D397" s="5">
        <f>+VLOOKUP(A397,Sheet6!A:D,4,0)</f>
        <v>0.1777509068923821</v>
      </c>
      <c r="E397" s="5">
        <f t="shared" si="6"/>
        <v>11.594513905683192</v>
      </c>
      <c r="F397" s="5" cm="1">
        <f t="array" ref="F397">_xlfn.IFS(
    AND(C397&gt;C$535,D397&lt;D$535),1,
    AND(C397&gt;C$535,D397&gt;D$535),2,
    AND(C397&lt;C$535,D397&lt;D$535),4,
    AND(C397&lt;C$535,D397&gt;D$535),3,
    TRUE,""
)</f>
        <v>2</v>
      </c>
    </row>
    <row r="398" spans="1:6" x14ac:dyDescent="0.35">
      <c r="A398" s="1" t="s">
        <v>181</v>
      </c>
      <c r="B398" s="1">
        <v>16.73</v>
      </c>
      <c r="C398" s="2">
        <v>263893</v>
      </c>
      <c r="D398" s="5">
        <f>+VLOOKUP(A398,Sheet6!A:D,4,0)</f>
        <v>0.17615658362989323</v>
      </c>
      <c r="E398" s="5">
        <f t="shared" si="6"/>
        <v>2.9470996441281136E-3</v>
      </c>
      <c r="F398" s="5" cm="1">
        <f t="array" ref="F398">_xlfn.IFS(
    AND(C398&gt;C$535,D398&lt;D$535),1,
    AND(C398&gt;C$535,D398&gt;D$535),2,
    AND(C398&lt;C$535,D398&lt;D$535),4,
    AND(C398&lt;C$535,D398&gt;D$535),3,
    TRUE,""
)</f>
        <v>2</v>
      </c>
    </row>
    <row r="399" spans="1:6" x14ac:dyDescent="0.35">
      <c r="A399" s="1" t="s">
        <v>279</v>
      </c>
      <c r="B399" s="2">
        <v>7212</v>
      </c>
      <c r="C399" s="2">
        <v>276071</v>
      </c>
      <c r="D399" s="5">
        <f>+VLOOKUP(A399,Sheet6!A:D,4,0)</f>
        <v>0.17557251908396945</v>
      </c>
      <c r="E399" s="5">
        <f t="shared" si="6"/>
        <v>1.2662290076335878</v>
      </c>
      <c r="F399" s="5" cm="1">
        <f t="array" ref="F399">_xlfn.IFS(
    AND(C399&gt;C$535,D399&lt;D$535),1,
    AND(C399&gt;C$535,D399&gt;D$535),2,
    AND(C399&lt;C$535,D399&lt;D$535),4,
    AND(C399&lt;C$535,D399&gt;D$535),3,
    TRUE,""
)</f>
        <v>2</v>
      </c>
    </row>
    <row r="400" spans="1:6" x14ac:dyDescent="0.35">
      <c r="A400" s="1" t="s">
        <v>31</v>
      </c>
      <c r="B400" s="2">
        <v>22372</v>
      </c>
      <c r="C400" s="1">
        <v>272.97000000000003</v>
      </c>
      <c r="D400" s="5">
        <f>+VLOOKUP(A400,Sheet6!A:D,4,0)</f>
        <v>0.17520215633423181</v>
      </c>
      <c r="E400" s="5">
        <f t="shared" si="6"/>
        <v>3.919622641509434</v>
      </c>
      <c r="F400" s="5" cm="1">
        <f t="array" ref="F400">_xlfn.IFS(
    AND(C400&gt;C$535,D400&lt;D$535),1,
    AND(C400&gt;C$535,D400&gt;D$535),2,
    AND(C400&lt;C$535,D400&lt;D$535),4,
    AND(C400&lt;C$535,D400&gt;D$535),3,
    TRUE,""
)</f>
        <v>3</v>
      </c>
    </row>
    <row r="401" spans="1:6" x14ac:dyDescent="0.35">
      <c r="A401" s="1" t="s">
        <v>41</v>
      </c>
      <c r="B401" s="2">
        <v>29418</v>
      </c>
      <c r="C401" s="2">
        <v>291757</v>
      </c>
      <c r="D401" s="5">
        <f>+VLOOKUP(A401,Sheet6!A:D,4,0)</f>
        <v>0.17493472584856398</v>
      </c>
      <c r="E401" s="5">
        <f t="shared" si="6"/>
        <v>5.1462297650130546</v>
      </c>
      <c r="F401" s="5" cm="1">
        <f t="array" ref="F401">_xlfn.IFS(
    AND(C401&gt;C$535,D401&lt;D$535),1,
    AND(C401&gt;C$535,D401&gt;D$535),2,
    AND(C401&lt;C$535,D401&lt;D$535),4,
    AND(C401&lt;C$535,D401&gt;D$535),3,
    TRUE,""
)</f>
        <v>2</v>
      </c>
    </row>
    <row r="402" spans="1:6" x14ac:dyDescent="0.35">
      <c r="A402" s="1" t="s">
        <v>160</v>
      </c>
      <c r="B402" s="2">
        <v>76272</v>
      </c>
      <c r="C402" s="2">
        <v>278738</v>
      </c>
      <c r="D402" s="5">
        <f>+VLOOKUP(A402,Sheet6!A:D,4,0)</f>
        <v>0.17492163009404391</v>
      </c>
      <c r="E402" s="5">
        <f t="shared" si="6"/>
        <v>13.341622570532916</v>
      </c>
      <c r="F402" s="5" cm="1">
        <f t="array" ref="F402">_xlfn.IFS(
    AND(C402&gt;C$535,D402&lt;D$535),1,
    AND(C402&gt;C$535,D402&gt;D$535),2,
    AND(C402&lt;C$535,D402&lt;D$535),4,
    AND(C402&lt;C$535,D402&gt;D$535),3,
    TRUE,""
)</f>
        <v>2</v>
      </c>
    </row>
    <row r="403" spans="1:6" x14ac:dyDescent="0.35">
      <c r="A403" s="1" t="s">
        <v>322</v>
      </c>
      <c r="B403" s="2">
        <v>78838</v>
      </c>
      <c r="C403" s="2">
        <v>247495</v>
      </c>
      <c r="D403" s="5">
        <f>+VLOOKUP(A403,Sheet6!A:D,4,0)</f>
        <v>0.17334494773519163</v>
      </c>
      <c r="E403" s="5">
        <f t="shared" si="6"/>
        <v>13.666168989547037</v>
      </c>
      <c r="F403" s="5" cm="1">
        <f t="array" ref="F403">_xlfn.IFS(
    AND(C403&gt;C$535,D403&lt;D$535),1,
    AND(C403&gt;C$535,D403&gt;D$535),2,
    AND(C403&lt;C$535,D403&lt;D$535),4,
    AND(C403&lt;C$535,D403&gt;D$535),3,
    TRUE,""
)</f>
        <v>2</v>
      </c>
    </row>
    <row r="404" spans="1:6" x14ac:dyDescent="0.35">
      <c r="A404" s="1" t="s">
        <v>6</v>
      </c>
      <c r="B404" s="1">
        <v>13.02</v>
      </c>
      <c r="C404" s="2">
        <v>426878</v>
      </c>
      <c r="D404" s="5">
        <f>+VLOOKUP(A404,Sheet6!A:D,4,0)</f>
        <v>0.17216981132075471</v>
      </c>
      <c r="E404" s="5">
        <f t="shared" si="6"/>
        <v>2.2416509433962266E-3</v>
      </c>
      <c r="F404" s="5" cm="1">
        <f t="array" ref="F404">_xlfn.IFS(
    AND(C404&gt;C$535,D404&lt;D$535),1,
    AND(C404&gt;C$535,D404&gt;D$535),2,
    AND(C404&lt;C$535,D404&lt;D$535),4,
    AND(C404&lt;C$535,D404&gt;D$535),3,
    TRUE,""
)</f>
        <v>2</v>
      </c>
    </row>
    <row r="405" spans="1:6" x14ac:dyDescent="0.35">
      <c r="A405" s="1" t="s">
        <v>212</v>
      </c>
      <c r="B405" s="2">
        <v>47348</v>
      </c>
      <c r="C405" s="2">
        <v>330511</v>
      </c>
      <c r="D405" s="5">
        <f>+VLOOKUP(A405,Sheet6!A:D,4,0)</f>
        <v>0.17200674536256325</v>
      </c>
      <c r="E405" s="5">
        <f t="shared" si="6"/>
        <v>8.1441753794266436</v>
      </c>
      <c r="F405" s="5" cm="1">
        <f t="array" ref="F405">_xlfn.IFS(
    AND(C405&gt;C$535,D405&lt;D$535),1,
    AND(C405&gt;C$535,D405&gt;D$535),2,
    AND(C405&lt;C$535,D405&lt;D$535),4,
    AND(C405&lt;C$535,D405&gt;D$535),3,
    TRUE,""
)</f>
        <v>2</v>
      </c>
    </row>
    <row r="406" spans="1:6" x14ac:dyDescent="0.35">
      <c r="A406" s="1" t="s">
        <v>385</v>
      </c>
      <c r="B406" s="2">
        <v>44364</v>
      </c>
      <c r="C406" s="2">
        <v>281443</v>
      </c>
      <c r="D406" s="5">
        <f>+VLOOKUP(A406,Sheet6!A:D,4,0)</f>
        <v>0.17131979695431473</v>
      </c>
      <c r="E406" s="5">
        <f t="shared" si="6"/>
        <v>7.6004314720812189</v>
      </c>
      <c r="F406" s="5" cm="1">
        <f t="array" ref="F406">_xlfn.IFS(
    AND(C406&gt;C$535,D406&lt;D$535),1,
    AND(C406&gt;C$535,D406&gt;D$535),2,
    AND(C406&lt;C$535,D406&lt;D$535),4,
    AND(C406&lt;C$535,D406&gt;D$535),3,
    TRUE,""
)</f>
        <v>2</v>
      </c>
    </row>
    <row r="407" spans="1:6" x14ac:dyDescent="0.35">
      <c r="A407" s="1" t="s">
        <v>397</v>
      </c>
      <c r="B407" s="2">
        <v>46626</v>
      </c>
      <c r="C407" s="2">
        <v>436455</v>
      </c>
      <c r="D407" s="5">
        <f>+VLOOKUP(A407,Sheet6!A:D,4,0)</f>
        <v>0.17009602194787379</v>
      </c>
      <c r="E407" s="5">
        <f t="shared" si="6"/>
        <v>7.930897119341564</v>
      </c>
      <c r="F407" s="5" cm="1">
        <f t="array" ref="F407">_xlfn.IFS(
    AND(C407&gt;C$535,D407&lt;D$535),1,
    AND(C407&gt;C$535,D407&gt;D$535),2,
    AND(C407&lt;C$535,D407&lt;D$535),4,
    AND(C407&lt;C$535,D407&gt;D$535),3,
    TRUE,""
)</f>
        <v>2</v>
      </c>
    </row>
    <row r="408" spans="1:6" x14ac:dyDescent="0.35">
      <c r="A408" s="1" t="s">
        <v>214</v>
      </c>
      <c r="B408" s="2">
        <v>4648</v>
      </c>
      <c r="C408" s="2">
        <v>169303</v>
      </c>
      <c r="D408" s="5">
        <f>+VLOOKUP(A408,Sheet6!A:D,4,0)</f>
        <v>0.16981132075471697</v>
      </c>
      <c r="E408" s="5">
        <f t="shared" si="6"/>
        <v>0.78928301886792451</v>
      </c>
      <c r="F408" s="5" cm="1">
        <f t="array" ref="F408">_xlfn.IFS(
    AND(C408&gt;C$535,D408&lt;D$535),1,
    AND(C408&gt;C$535,D408&gt;D$535),2,
    AND(C408&lt;C$535,D408&lt;D$535),4,
    AND(C408&lt;C$535,D408&gt;D$535),3,
    TRUE,""
)</f>
        <v>3</v>
      </c>
    </row>
    <row r="409" spans="1:6" x14ac:dyDescent="0.35">
      <c r="A409" s="1" t="s">
        <v>176</v>
      </c>
      <c r="B409" s="2">
        <v>7119</v>
      </c>
      <c r="C409" s="1">
        <v>267.44</v>
      </c>
      <c r="D409" s="5">
        <f>+VLOOKUP(A409,Sheet6!A:D,4,0)</f>
        <v>0.16935483870967741</v>
      </c>
      <c r="E409" s="5">
        <f t="shared" si="6"/>
        <v>1.2056370967741934</v>
      </c>
      <c r="F409" s="5" cm="1">
        <f t="array" ref="F409">_xlfn.IFS(
    AND(C409&gt;C$535,D409&lt;D$535),1,
    AND(C409&gt;C$535,D409&gt;D$535),2,
    AND(C409&lt;C$535,D409&lt;D$535),4,
    AND(C409&lt;C$535,D409&gt;D$535),3,
    TRUE,""
)</f>
        <v>3</v>
      </c>
    </row>
    <row r="410" spans="1:6" x14ac:dyDescent="0.35">
      <c r="A410" s="1" t="s">
        <v>500</v>
      </c>
      <c r="B410" s="1">
        <v>23.31</v>
      </c>
      <c r="C410" s="2">
        <v>471725</v>
      </c>
      <c r="D410" s="5">
        <f>+VLOOKUP(A410,Sheet6!A:D,4,0)</f>
        <v>0.16923076923076924</v>
      </c>
      <c r="E410" s="5">
        <f t="shared" si="6"/>
        <v>3.9447692307692309E-3</v>
      </c>
      <c r="F410" s="5" cm="1">
        <f t="array" ref="F410">_xlfn.IFS(
    AND(C410&gt;C$535,D410&lt;D$535),1,
    AND(C410&gt;C$535,D410&gt;D$535),2,
    AND(C410&lt;C$535,D410&lt;D$535),4,
    AND(C410&lt;C$535,D410&gt;D$535),3,
    TRUE,""
)</f>
        <v>2</v>
      </c>
    </row>
    <row r="411" spans="1:6" x14ac:dyDescent="0.35">
      <c r="A411" s="1" t="s">
        <v>263</v>
      </c>
      <c r="B411" s="2">
        <v>4115</v>
      </c>
      <c r="C411" s="2">
        <v>187839</v>
      </c>
      <c r="D411" s="5">
        <f>+VLOOKUP(A411,Sheet6!A:D,4,0)</f>
        <v>0.16867469879518074</v>
      </c>
      <c r="E411" s="5">
        <f t="shared" si="6"/>
        <v>0.69409638554216868</v>
      </c>
      <c r="F411" s="5" cm="1">
        <f t="array" ref="F411">_xlfn.IFS(
    AND(C411&gt;C$535,D411&lt;D$535),1,
    AND(C411&gt;C$535,D411&gt;D$535),2,
    AND(C411&lt;C$535,D411&lt;D$535),4,
    AND(C411&lt;C$535,D411&gt;D$535),3,
    TRUE,""
)</f>
        <v>3</v>
      </c>
    </row>
    <row r="412" spans="1:6" x14ac:dyDescent="0.35">
      <c r="A412" s="1" t="s">
        <v>277</v>
      </c>
      <c r="B412" s="1">
        <v>28.03</v>
      </c>
      <c r="C412" s="2">
        <v>287481</v>
      </c>
      <c r="D412" s="5">
        <f>+VLOOKUP(A412,Sheet6!A:D,4,0)</f>
        <v>0.16856492027334852</v>
      </c>
      <c r="E412" s="5">
        <f t="shared" si="6"/>
        <v>4.7248747152619586E-3</v>
      </c>
      <c r="F412" s="5" cm="1">
        <f t="array" ref="F412">_xlfn.IFS(
    AND(C412&gt;C$535,D412&lt;D$535),1,
    AND(C412&gt;C$535,D412&gt;D$535),2,
    AND(C412&lt;C$535,D412&lt;D$535),4,
    AND(C412&lt;C$535,D412&gt;D$535),3,
    TRUE,""
)</f>
        <v>2</v>
      </c>
    </row>
    <row r="413" spans="1:6" x14ac:dyDescent="0.35">
      <c r="A413" s="1" t="s">
        <v>344</v>
      </c>
      <c r="B413" s="2">
        <v>68558</v>
      </c>
      <c r="C413" s="2">
        <v>217683</v>
      </c>
      <c r="D413" s="5">
        <f>+VLOOKUP(A413,Sheet6!A:D,4,0)</f>
        <v>0.16677874915938132</v>
      </c>
      <c r="E413" s="5">
        <f t="shared" si="6"/>
        <v>11.434017484868864</v>
      </c>
      <c r="F413" s="5" cm="1">
        <f t="array" ref="F413">_xlfn.IFS(
    AND(C413&gt;C$535,D413&lt;D$535),1,
    AND(C413&gt;C$535,D413&gt;D$535),2,
    AND(C413&lt;C$535,D413&lt;D$535),4,
    AND(C413&lt;C$535,D413&gt;D$535),3,
    TRUE,""
)</f>
        <v>2</v>
      </c>
    </row>
    <row r="414" spans="1:6" x14ac:dyDescent="0.35">
      <c r="A414" s="1" t="s">
        <v>403</v>
      </c>
      <c r="B414" s="2">
        <v>3958</v>
      </c>
      <c r="C414" s="2">
        <v>331004</v>
      </c>
      <c r="D414" s="5">
        <f>+VLOOKUP(A414,Sheet6!A:D,4,0)</f>
        <v>0.16666666666666669</v>
      </c>
      <c r="E414" s="5">
        <f t="shared" si="6"/>
        <v>0.65966666666666673</v>
      </c>
      <c r="F414" s="5" cm="1">
        <f t="array" ref="F414">_xlfn.IFS(
    AND(C414&gt;C$535,D414&lt;D$535),1,
    AND(C414&gt;C$535,D414&gt;D$535),2,
    AND(C414&lt;C$535,D414&lt;D$535),4,
    AND(C414&lt;C$535,D414&gt;D$535),3,
    TRUE,""
)</f>
        <v>2</v>
      </c>
    </row>
    <row r="415" spans="1:6" x14ac:dyDescent="0.35">
      <c r="A415" s="1" t="s">
        <v>32</v>
      </c>
      <c r="B415" s="2">
        <v>16356</v>
      </c>
      <c r="C415" s="2">
        <v>247988</v>
      </c>
      <c r="D415" s="5">
        <f>+VLOOKUP(A415,Sheet6!A:D,4,0)</f>
        <v>0.16666666666666669</v>
      </c>
      <c r="E415" s="5">
        <f t="shared" si="6"/>
        <v>2.7260000000000004</v>
      </c>
      <c r="F415" s="5" cm="1">
        <f t="array" ref="F415">_xlfn.IFS(
    AND(C415&gt;C$535,D415&lt;D$535),1,
    AND(C415&gt;C$535,D415&gt;D$535),2,
    AND(C415&lt;C$535,D415&lt;D$535),4,
    AND(C415&lt;C$535,D415&gt;D$535),3,
    TRUE,""
)</f>
        <v>2</v>
      </c>
    </row>
    <row r="416" spans="1:6" x14ac:dyDescent="0.35">
      <c r="A416" s="1" t="s">
        <v>74</v>
      </c>
      <c r="B416" s="2">
        <v>28795</v>
      </c>
      <c r="C416" s="2">
        <v>330164</v>
      </c>
      <c r="D416" s="5">
        <f>+VLOOKUP(A416,Sheet6!A:D,4,0)</f>
        <v>0.16594827586206898</v>
      </c>
      <c r="E416" s="5">
        <f t="shared" si="6"/>
        <v>4.7784806034482763</v>
      </c>
      <c r="F416" s="5" cm="1">
        <f t="array" ref="F416">_xlfn.IFS(
    AND(C416&gt;C$535,D416&lt;D$535),1,
    AND(C416&gt;C$535,D416&gt;D$535),2,
    AND(C416&lt;C$535,D416&lt;D$535),4,
    AND(C416&lt;C$535,D416&gt;D$535),3,
    TRUE,""
)</f>
        <v>2</v>
      </c>
    </row>
    <row r="417" spans="1:6" x14ac:dyDescent="0.35">
      <c r="A417" s="1" t="s">
        <v>547</v>
      </c>
      <c r="B417" s="2">
        <v>9093</v>
      </c>
      <c r="C417" s="2">
        <v>243605</v>
      </c>
      <c r="D417" s="5">
        <f>+VLOOKUP(A417,Sheet6!A:D,4,0)</f>
        <v>0.16190476190476191</v>
      </c>
      <c r="E417" s="5">
        <f t="shared" si="6"/>
        <v>1.4722</v>
      </c>
      <c r="F417" s="5" cm="1">
        <f t="array" ref="F417">_xlfn.IFS(
    AND(C417&gt;C$535,D417&lt;D$535),1,
    AND(C417&gt;C$535,D417&gt;D$535),2,
    AND(C417&lt;C$535,D417&lt;D$535),4,
    AND(C417&lt;C$535,D417&gt;D$535),3,
    TRUE,""
)</f>
        <v>2</v>
      </c>
    </row>
    <row r="418" spans="1:6" x14ac:dyDescent="0.35">
      <c r="A418" s="1" t="s">
        <v>274</v>
      </c>
      <c r="B418" s="2">
        <v>58038</v>
      </c>
      <c r="C418" s="2">
        <v>231399</v>
      </c>
      <c r="D418" s="5">
        <f>+VLOOKUP(A418,Sheet6!A:D,4,0)</f>
        <v>0.16122004357298478</v>
      </c>
      <c r="E418" s="5">
        <f t="shared" si="6"/>
        <v>9.356888888888891</v>
      </c>
      <c r="F418" s="5" cm="1">
        <f t="array" ref="F418">_xlfn.IFS(
    AND(C418&gt;C$535,D418&lt;D$535),1,
    AND(C418&gt;C$535,D418&gt;D$535),2,
    AND(C418&lt;C$535,D418&lt;D$535),4,
    AND(C418&lt;C$535,D418&gt;D$535),3,
    TRUE,""
)</f>
        <v>2</v>
      </c>
    </row>
    <row r="419" spans="1:6" x14ac:dyDescent="0.35">
      <c r="A419" s="1" t="s">
        <v>362</v>
      </c>
      <c r="B419" s="2">
        <v>7487</v>
      </c>
      <c r="C419" s="2">
        <v>272874</v>
      </c>
      <c r="D419" s="5">
        <f>+VLOOKUP(A419,Sheet6!A:D,4,0)</f>
        <v>0.1607142857142857</v>
      </c>
      <c r="E419" s="5">
        <f t="shared" si="6"/>
        <v>1.203267857142857</v>
      </c>
      <c r="F419" s="5" cm="1">
        <f t="array" ref="F419">_xlfn.IFS(
    AND(C419&gt;C$535,D419&lt;D$535),1,
    AND(C419&gt;C$535,D419&gt;D$535),2,
    AND(C419&lt;C$535,D419&lt;D$535),4,
    AND(C419&lt;C$535,D419&gt;D$535),3,
    TRUE,""
)</f>
        <v>2</v>
      </c>
    </row>
    <row r="420" spans="1:6" x14ac:dyDescent="0.35">
      <c r="A420" s="1" t="s">
        <v>194</v>
      </c>
      <c r="B420" s="2">
        <v>48786</v>
      </c>
      <c r="C420" s="1">
        <v>319.64</v>
      </c>
      <c r="D420" s="5">
        <f>+VLOOKUP(A420,Sheet6!A:D,4,0)</f>
        <v>0.16016427104722794</v>
      </c>
      <c r="E420" s="5">
        <f t="shared" si="6"/>
        <v>7.8137741273100616</v>
      </c>
      <c r="F420" s="5" cm="1">
        <f t="array" ref="F420">_xlfn.IFS(
    AND(C420&gt;C$535,D420&lt;D$535),1,
    AND(C420&gt;C$535,D420&gt;D$535),2,
    AND(C420&lt;C$535,D420&lt;D$535),4,
    AND(C420&lt;C$535,D420&gt;D$535),3,
    TRUE,""
)</f>
        <v>3</v>
      </c>
    </row>
    <row r="421" spans="1:6" x14ac:dyDescent="0.35">
      <c r="A421" s="1" t="s">
        <v>34</v>
      </c>
      <c r="B421" s="2">
        <v>39384</v>
      </c>
      <c r="C421" s="2">
        <v>367791</v>
      </c>
      <c r="D421" s="5">
        <f>+VLOOKUP(A421,Sheet6!A:D,4,0)</f>
        <v>0.15970149253731344</v>
      </c>
      <c r="E421" s="5">
        <f t="shared" si="6"/>
        <v>6.2896835820895527</v>
      </c>
      <c r="F421" s="5" cm="1">
        <f t="array" ref="F421">_xlfn.IFS(
    AND(C421&gt;C$535,D421&lt;D$535),1,
    AND(C421&gt;C$535,D421&gt;D$535),2,
    AND(C421&lt;C$535,D421&lt;D$535),4,
    AND(C421&lt;C$535,D421&gt;D$535),3,
    TRUE,""
)</f>
        <v>2</v>
      </c>
    </row>
    <row r="422" spans="1:6" x14ac:dyDescent="0.35">
      <c r="A422" s="1" t="s">
        <v>21</v>
      </c>
      <c r="B422" s="2">
        <v>23216</v>
      </c>
      <c r="C422" s="2">
        <v>265632</v>
      </c>
      <c r="D422" s="5">
        <f>+VLOOKUP(A422,Sheet6!A:D,4,0)</f>
        <v>0.15960099750623444</v>
      </c>
      <c r="E422" s="5">
        <f t="shared" si="6"/>
        <v>3.7052967581047387</v>
      </c>
      <c r="F422" s="5" cm="1">
        <f t="array" ref="F422">_xlfn.IFS(
    AND(C422&gt;C$535,D422&lt;D$535),1,
    AND(C422&gt;C$535,D422&gt;D$535),2,
    AND(C422&lt;C$535,D422&lt;D$535),4,
    AND(C422&lt;C$535,D422&gt;D$535),3,
    TRUE,""
)</f>
        <v>2</v>
      </c>
    </row>
    <row r="423" spans="1:6" x14ac:dyDescent="0.35">
      <c r="A423" s="1" t="s">
        <v>473</v>
      </c>
      <c r="B423" s="2">
        <v>9361</v>
      </c>
      <c r="C423" s="2">
        <v>177859</v>
      </c>
      <c r="D423" s="5">
        <f>+VLOOKUP(A423,Sheet6!A:D,4,0)</f>
        <v>0.15770609318996415</v>
      </c>
      <c r="E423" s="5">
        <f t="shared" si="6"/>
        <v>1.4762867383512543</v>
      </c>
      <c r="F423" s="5" cm="1">
        <f t="array" ref="F423">_xlfn.IFS(
    AND(C423&gt;C$535,D423&lt;D$535),1,
    AND(C423&gt;C$535,D423&gt;D$535),2,
    AND(C423&lt;C$535,D423&lt;D$535),4,
    AND(C423&lt;C$535,D423&gt;D$535),3,
    TRUE,""
)</f>
        <v>3</v>
      </c>
    </row>
    <row r="424" spans="1:6" x14ac:dyDescent="0.35">
      <c r="A424" s="1" t="s">
        <v>108</v>
      </c>
      <c r="B424" s="2">
        <v>24496</v>
      </c>
      <c r="C424" s="2">
        <v>240082</v>
      </c>
      <c r="D424" s="5">
        <f>+VLOOKUP(A424,Sheet6!A:D,4,0)</f>
        <v>0.15722120658135283</v>
      </c>
      <c r="E424" s="5">
        <f t="shared" si="6"/>
        <v>3.8512906764168187</v>
      </c>
      <c r="F424" s="5" cm="1">
        <f t="array" ref="F424">_xlfn.IFS(
    AND(C424&gt;C$535,D424&lt;D$535),1,
    AND(C424&gt;C$535,D424&gt;D$535),2,
    AND(C424&lt;C$535,D424&lt;D$535),4,
    AND(C424&lt;C$535,D424&gt;D$535),3,
    TRUE,""
)</f>
        <v>2</v>
      </c>
    </row>
    <row r="425" spans="1:6" x14ac:dyDescent="0.35">
      <c r="A425" s="1" t="s">
        <v>141</v>
      </c>
      <c r="B425" s="2">
        <v>30216</v>
      </c>
      <c r="C425" s="2">
        <v>246824</v>
      </c>
      <c r="D425" s="5">
        <f>+VLOOKUP(A425,Sheet6!A:D,4,0)</f>
        <v>0.15674362089914945</v>
      </c>
      <c r="E425" s="5">
        <f t="shared" si="6"/>
        <v>4.7361652490886996</v>
      </c>
      <c r="F425" s="5" cm="1">
        <f t="array" ref="F425">_xlfn.IFS(
    AND(C425&gt;C$535,D425&lt;D$535),1,
    AND(C425&gt;C$535,D425&gt;D$535),2,
    AND(C425&lt;C$535,D425&lt;D$535),4,
    AND(C425&lt;C$535,D425&gt;D$535),3,
    TRUE,""
)</f>
        <v>2</v>
      </c>
    </row>
    <row r="426" spans="1:6" x14ac:dyDescent="0.35">
      <c r="A426" s="1" t="s">
        <v>390</v>
      </c>
      <c r="B426" s="2">
        <v>18539</v>
      </c>
      <c r="C426" s="2">
        <v>310488</v>
      </c>
      <c r="D426" s="5">
        <f>+VLOOKUP(A426,Sheet6!A:D,4,0)</f>
        <v>0.15567282321899736</v>
      </c>
      <c r="E426" s="5">
        <f t="shared" si="6"/>
        <v>2.8860184696569924</v>
      </c>
      <c r="F426" s="5" cm="1">
        <f t="array" ref="F426">_xlfn.IFS(
    AND(C426&gt;C$535,D426&lt;D$535),1,
    AND(C426&gt;C$535,D426&gt;D$535),2,
    AND(C426&lt;C$535,D426&lt;D$535),4,
    AND(C426&lt;C$535,D426&gt;D$535),3,
    TRUE,""
)</f>
        <v>2</v>
      </c>
    </row>
    <row r="427" spans="1:6" x14ac:dyDescent="0.35">
      <c r="A427" s="1" t="s">
        <v>240</v>
      </c>
      <c r="B427" s="2">
        <v>37413</v>
      </c>
      <c r="C427" s="2">
        <v>322191</v>
      </c>
      <c r="D427" s="5">
        <f>+VLOOKUP(A427,Sheet6!A:D,4,0)</f>
        <v>0.15483119906868453</v>
      </c>
      <c r="E427" s="5">
        <f t="shared" ref="E427:E490" si="7">(B427*D427)/1000</f>
        <v>5.7926996507566946</v>
      </c>
      <c r="F427" s="5" cm="1">
        <f t="array" ref="F427">_xlfn.IFS(
    AND(C427&gt;C$535,D427&lt;D$535),1,
    AND(C427&gt;C$535,D427&gt;D$535),2,
    AND(C427&lt;C$535,D427&lt;D$535),4,
    AND(C427&lt;C$535,D427&gt;D$535),3,
    TRUE,""
)</f>
        <v>2</v>
      </c>
    </row>
    <row r="428" spans="1:6" x14ac:dyDescent="0.35">
      <c r="A428" s="1" t="s">
        <v>499</v>
      </c>
      <c r="B428" s="2">
        <v>57003</v>
      </c>
      <c r="C428" s="2">
        <v>215445</v>
      </c>
      <c r="D428" s="5">
        <f>+VLOOKUP(A428,Sheet6!A:D,4,0)</f>
        <v>0.15419947506561679</v>
      </c>
      <c r="E428" s="5">
        <f t="shared" si="7"/>
        <v>8.7898326771653537</v>
      </c>
      <c r="F428" s="5" cm="1">
        <f t="array" ref="F428">_xlfn.IFS(
    AND(C428&gt;C$535,D428&lt;D$535),1,
    AND(C428&gt;C$535,D428&gt;D$535),2,
    AND(C428&lt;C$535,D428&lt;D$535),4,
    AND(C428&lt;C$535,D428&gt;D$535),3,
    TRUE,""
)</f>
        <v>2</v>
      </c>
    </row>
    <row r="429" spans="1:6" x14ac:dyDescent="0.35">
      <c r="A429" s="1" t="s">
        <v>351</v>
      </c>
      <c r="B429" s="2">
        <v>23466</v>
      </c>
      <c r="C429" s="1">
        <v>265.24</v>
      </c>
      <c r="D429" s="5">
        <f>+VLOOKUP(A429,Sheet6!A:D,4,0)</f>
        <v>0.15398886827458255</v>
      </c>
      <c r="E429" s="5">
        <f t="shared" si="7"/>
        <v>3.613502782931354</v>
      </c>
      <c r="F429" s="5" cm="1">
        <f t="array" ref="F429">_xlfn.IFS(
    AND(C429&gt;C$535,D429&lt;D$535),1,
    AND(C429&gt;C$535,D429&gt;D$535),2,
    AND(C429&lt;C$535,D429&lt;D$535),4,
    AND(C429&lt;C$535,D429&gt;D$535),3,
    TRUE,""
)</f>
        <v>3</v>
      </c>
    </row>
    <row r="430" spans="1:6" x14ac:dyDescent="0.35">
      <c r="A430" s="1" t="s">
        <v>226</v>
      </c>
      <c r="B430" s="2">
        <v>9382</v>
      </c>
      <c r="C430" s="2">
        <v>227778</v>
      </c>
      <c r="D430" s="5">
        <f>+VLOOKUP(A430,Sheet6!A:D,4,0)</f>
        <v>0.15384615384615385</v>
      </c>
      <c r="E430" s="5">
        <f t="shared" si="7"/>
        <v>1.4433846153846155</v>
      </c>
      <c r="F430" s="5" cm="1">
        <f t="array" ref="F430">_xlfn.IFS(
    AND(C430&gt;C$535,D430&lt;D$535),1,
    AND(C430&gt;C$535,D430&gt;D$535),2,
    AND(C430&lt;C$535,D430&lt;D$535),4,
    AND(C430&lt;C$535,D430&gt;D$535),3,
    TRUE,""
)</f>
        <v>2</v>
      </c>
    </row>
    <row r="431" spans="1:6" x14ac:dyDescent="0.35">
      <c r="A431" s="1" t="s">
        <v>327</v>
      </c>
      <c r="B431" s="2">
        <v>80263</v>
      </c>
      <c r="C431" s="1">
        <v>265.89999999999998</v>
      </c>
      <c r="D431" s="5">
        <f>+VLOOKUP(A431,Sheet6!A:D,4,0)</f>
        <v>0.15361890694239291</v>
      </c>
      <c r="E431" s="5">
        <f t="shared" si="7"/>
        <v>12.329914327917281</v>
      </c>
      <c r="F431" s="5" cm="1">
        <f t="array" ref="F431">_xlfn.IFS(
    AND(C431&gt;C$535,D431&lt;D$535),1,
    AND(C431&gt;C$535,D431&gt;D$535),2,
    AND(C431&lt;C$535,D431&lt;D$535),4,
    AND(C431&lt;C$535,D431&gt;D$535),3,
    TRUE,""
)</f>
        <v>3</v>
      </c>
    </row>
    <row r="432" spans="1:6" x14ac:dyDescent="0.35">
      <c r="A432" s="1" t="s">
        <v>527</v>
      </c>
      <c r="B432" s="2">
        <v>41366</v>
      </c>
      <c r="C432" s="2">
        <v>269182</v>
      </c>
      <c r="D432" s="5">
        <f>+VLOOKUP(A432,Sheet6!A:D,4,0)</f>
        <v>0.15256124721603564</v>
      </c>
      <c r="E432" s="5">
        <f t="shared" si="7"/>
        <v>6.3108485523385305</v>
      </c>
      <c r="F432" s="5" cm="1">
        <f t="array" ref="F432">_xlfn.IFS(
    AND(C432&gt;C$535,D432&lt;D$535),1,
    AND(C432&gt;C$535,D432&gt;D$535),2,
    AND(C432&lt;C$535,D432&lt;D$535),4,
    AND(C432&lt;C$535,D432&gt;D$535),3,
    TRUE,""
)</f>
        <v>2</v>
      </c>
    </row>
    <row r="433" spans="1:6" x14ac:dyDescent="0.35">
      <c r="A433" s="1" t="s">
        <v>365</v>
      </c>
      <c r="B433" s="2">
        <v>60065</v>
      </c>
      <c r="C433" s="2">
        <v>228569</v>
      </c>
      <c r="D433" s="5">
        <f>+VLOOKUP(A433,Sheet6!A:D,4,0)</f>
        <v>0.15184563758389263</v>
      </c>
      <c r="E433" s="5">
        <f t="shared" si="7"/>
        <v>9.1206082214765125</v>
      </c>
      <c r="F433" s="5" cm="1">
        <f t="array" ref="F433">_xlfn.IFS(
    AND(C433&gt;C$535,D433&lt;D$535),1,
    AND(C433&gt;C$535,D433&gt;D$535),2,
    AND(C433&lt;C$535,D433&lt;D$535),4,
    AND(C433&lt;C$535,D433&gt;D$535),3,
    TRUE,""
)</f>
        <v>2</v>
      </c>
    </row>
    <row r="434" spans="1:6" x14ac:dyDescent="0.35">
      <c r="A434" s="1" t="s">
        <v>112</v>
      </c>
      <c r="B434" s="2">
        <v>9998</v>
      </c>
      <c r="C434" s="2">
        <v>308147</v>
      </c>
      <c r="D434" s="5">
        <f>+VLOOKUP(A434,Sheet6!A:D,4,0)</f>
        <v>0.15137614678899083</v>
      </c>
      <c r="E434" s="5">
        <f t="shared" si="7"/>
        <v>1.5134587155963304</v>
      </c>
      <c r="F434" s="5" cm="1">
        <f t="array" ref="F434">_xlfn.IFS(
    AND(C434&gt;C$535,D434&lt;D$535),1,
    AND(C434&gt;C$535,D434&gt;D$535),2,
    AND(C434&lt;C$535,D434&lt;D$535),4,
    AND(C434&lt;C$535,D434&gt;D$535),3,
    TRUE,""
)</f>
        <v>2</v>
      </c>
    </row>
    <row r="435" spans="1:6" x14ac:dyDescent="0.35">
      <c r="A435" s="1" t="s">
        <v>55</v>
      </c>
      <c r="B435" s="2">
        <v>6591</v>
      </c>
      <c r="C435" s="2">
        <v>365813</v>
      </c>
      <c r="D435" s="5">
        <f>+VLOOKUP(A435,Sheet6!A:D,4,0)</f>
        <v>0.15079365079365079</v>
      </c>
      <c r="E435" s="5">
        <f t="shared" si="7"/>
        <v>0.99388095238095231</v>
      </c>
      <c r="F435" s="5" cm="1">
        <f t="array" ref="F435">_xlfn.IFS(
    AND(C435&gt;C$535,D435&lt;D$535),1,
    AND(C435&gt;C$535,D435&gt;D$535),2,
    AND(C435&lt;C$535,D435&lt;D$535),4,
    AND(C435&lt;C$535,D435&gt;D$535),3,
    TRUE,""
)</f>
        <v>2</v>
      </c>
    </row>
    <row r="436" spans="1:6" x14ac:dyDescent="0.35">
      <c r="A436" s="1" t="s">
        <v>364</v>
      </c>
      <c r="B436" s="2">
        <v>5212</v>
      </c>
      <c r="C436" s="2">
        <v>203751</v>
      </c>
      <c r="D436" s="5">
        <f>+VLOOKUP(A436,Sheet6!A:D,4,0)</f>
        <v>0.15053763440860216</v>
      </c>
      <c r="E436" s="5">
        <f t="shared" si="7"/>
        <v>0.78460215053763438</v>
      </c>
      <c r="F436" s="5" cm="1">
        <f t="array" ref="F436">_xlfn.IFS(
    AND(C436&gt;C$535,D436&lt;D$535),1,
    AND(C436&gt;C$535,D436&gt;D$535),2,
    AND(C436&lt;C$535,D436&lt;D$535),4,
    AND(C436&lt;C$535,D436&gt;D$535),3,
    TRUE,""
)</f>
        <v>3</v>
      </c>
    </row>
    <row r="437" spans="1:6" x14ac:dyDescent="0.35">
      <c r="A437" s="1" t="s">
        <v>398</v>
      </c>
      <c r="B437" s="2">
        <v>37009</v>
      </c>
      <c r="C437" s="1">
        <v>292.85000000000002</v>
      </c>
      <c r="D437" s="5">
        <f>+VLOOKUP(A437,Sheet6!A:D,4,0)</f>
        <v>0.14992503748125938</v>
      </c>
      <c r="E437" s="5">
        <f t="shared" si="7"/>
        <v>5.5485757121439283</v>
      </c>
      <c r="F437" s="5" cm="1">
        <f t="array" ref="F437">_xlfn.IFS(
    AND(C437&gt;C$535,D437&lt;D$535),1,
    AND(C437&gt;C$535,D437&gt;D$535),2,
    AND(C437&lt;C$535,D437&lt;D$535),4,
    AND(C437&lt;C$535,D437&gt;D$535),3,
    TRUE,""
)</f>
        <v>3</v>
      </c>
    </row>
    <row r="438" spans="1:6" x14ac:dyDescent="0.35">
      <c r="A438" s="1" t="s">
        <v>33</v>
      </c>
      <c r="B438" s="1">
        <v>2.68</v>
      </c>
      <c r="C438" s="2">
        <v>167568</v>
      </c>
      <c r="D438" s="5">
        <f>+VLOOKUP(A438,Sheet6!A:D,4,0)</f>
        <v>0.14814814814814814</v>
      </c>
      <c r="E438" s="5">
        <f t="shared" si="7"/>
        <v>3.97037037037037E-4</v>
      </c>
      <c r="F438" s="5" cm="1">
        <f t="array" ref="F438">_xlfn.IFS(
    AND(C438&gt;C$535,D438&lt;D$535),1,
    AND(C438&gt;C$535,D438&gt;D$535),2,
    AND(C438&lt;C$535,D438&lt;D$535),4,
    AND(C438&lt;C$535,D438&gt;D$535),3,
    TRUE,""
)</f>
        <v>3</v>
      </c>
    </row>
    <row r="439" spans="1:6" x14ac:dyDescent="0.35">
      <c r="A439" s="1" t="s">
        <v>480</v>
      </c>
      <c r="B439" s="2">
        <v>15012</v>
      </c>
      <c r="C439" s="2">
        <v>354977</v>
      </c>
      <c r="D439" s="5">
        <f>+VLOOKUP(A439,Sheet6!A:D,4,0)</f>
        <v>0.1461864406779661</v>
      </c>
      <c r="E439" s="5">
        <f t="shared" si="7"/>
        <v>2.1945508474576272</v>
      </c>
      <c r="F439" s="5" cm="1">
        <f t="array" ref="F439">_xlfn.IFS(
    AND(C439&gt;C$535,D439&lt;D$535),1,
    AND(C439&gt;C$535,D439&gt;D$535),2,
    AND(C439&lt;C$535,D439&lt;D$535),4,
    AND(C439&lt;C$535,D439&gt;D$535),3,
    TRUE,""
)</f>
        <v>2</v>
      </c>
    </row>
    <row r="440" spans="1:6" x14ac:dyDescent="0.35">
      <c r="A440" s="1" t="s">
        <v>262</v>
      </c>
      <c r="B440" s="2">
        <v>16817</v>
      </c>
      <c r="C440" s="2">
        <v>369144</v>
      </c>
      <c r="D440" s="5">
        <f>+VLOOKUP(A440,Sheet6!A:D,4,0)</f>
        <v>0.145985401459854</v>
      </c>
      <c r="E440" s="5">
        <f t="shared" si="7"/>
        <v>2.455036496350365</v>
      </c>
      <c r="F440" s="5" cm="1">
        <f t="array" ref="F440">_xlfn.IFS(
    AND(C440&gt;C$535,D440&lt;D$535),1,
    AND(C440&gt;C$535,D440&gt;D$535),2,
    AND(C440&lt;C$535,D440&lt;D$535),4,
    AND(C440&lt;C$535,D440&gt;D$535),3,
    TRUE,""
)</f>
        <v>2</v>
      </c>
    </row>
    <row r="441" spans="1:6" x14ac:dyDescent="0.35">
      <c r="A441" s="1" t="s">
        <v>246</v>
      </c>
      <c r="B441" s="2">
        <v>6726</v>
      </c>
      <c r="C441" s="2">
        <v>217077</v>
      </c>
      <c r="D441" s="5">
        <f>+VLOOKUP(A441,Sheet6!A:D,4,0)</f>
        <v>0.14545454545454545</v>
      </c>
      <c r="E441" s="5">
        <f t="shared" si="7"/>
        <v>0.97832727272727271</v>
      </c>
      <c r="F441" s="5" cm="1">
        <f t="array" ref="F441">_xlfn.IFS(
    AND(C441&gt;C$535,D441&lt;D$535),1,
    AND(C441&gt;C$535,D441&gt;D$535),2,
    AND(C441&lt;C$535,D441&lt;D$535),4,
    AND(C441&lt;C$535,D441&gt;D$535),3,
    TRUE,""
)</f>
        <v>2</v>
      </c>
    </row>
    <row r="442" spans="1:6" x14ac:dyDescent="0.35">
      <c r="A442" s="15" t="s">
        <v>453</v>
      </c>
      <c r="B442" s="1">
        <v>52.36</v>
      </c>
      <c r="C442" s="1">
        <v>221.35</v>
      </c>
      <c r="D442" s="5">
        <f>+VLOOKUP(A442,Sheet6!A:D,4,0)</f>
        <v>0.14457831325301207</v>
      </c>
      <c r="E442" s="5">
        <f t="shared" si="7"/>
        <v>7.5701204819277118E-3</v>
      </c>
      <c r="F442" s="5" cm="1">
        <f t="array" ref="F442">_xlfn.IFS(
    AND(C442&gt;C$535,D442&lt;D$535),1,
    AND(C442&gt;C$535,D442&gt;D$535),2,
    AND(C442&lt;C$535,D442&lt;D$535),4,
    AND(C442&lt;C$535,D442&gt;D$535),3,
    TRUE,""
)</f>
        <v>3</v>
      </c>
    </row>
    <row r="443" spans="1:6" x14ac:dyDescent="0.35">
      <c r="A443" s="1" t="s">
        <v>466</v>
      </c>
      <c r="B443" s="2">
        <v>37206</v>
      </c>
      <c r="C443" s="2">
        <v>326315</v>
      </c>
      <c r="D443" s="5">
        <f>+VLOOKUP(A443,Sheet6!A:D,4,0)</f>
        <v>0.14413075780089152</v>
      </c>
      <c r="E443" s="5">
        <f t="shared" si="7"/>
        <v>5.3625289747399698</v>
      </c>
      <c r="F443" s="5" cm="1">
        <f t="array" ref="F443">_xlfn.IFS(
    AND(C443&gt;C$535,D443&lt;D$535),1,
    AND(C443&gt;C$535,D443&gt;D$535),2,
    AND(C443&lt;C$535,D443&lt;D$535),4,
    AND(C443&lt;C$535,D443&gt;D$535),3,
    TRUE,""
)</f>
        <v>2</v>
      </c>
    </row>
    <row r="444" spans="1:6" x14ac:dyDescent="0.35">
      <c r="A444" s="1" t="s">
        <v>284</v>
      </c>
      <c r="B444" s="2">
        <v>38302</v>
      </c>
      <c r="C444" s="2">
        <v>347114</v>
      </c>
      <c r="D444" s="5">
        <f>+VLOOKUP(A444,Sheet6!A:D,4,0)</f>
        <v>0.14384748700173311</v>
      </c>
      <c r="E444" s="5">
        <f t="shared" si="7"/>
        <v>5.5096464471403817</v>
      </c>
      <c r="F444" s="5" cm="1">
        <f t="array" ref="F444">_xlfn.IFS(
    AND(C444&gt;C$535,D444&lt;D$535),1,
    AND(C444&gt;C$535,D444&gt;D$535),2,
    AND(C444&lt;C$535,D444&lt;D$535),4,
    AND(C444&lt;C$535,D444&gt;D$535),3,
    TRUE,""
)</f>
        <v>2</v>
      </c>
    </row>
    <row r="445" spans="1:6" x14ac:dyDescent="0.35">
      <c r="A445" s="1" t="s">
        <v>314</v>
      </c>
      <c r="B445" s="2">
        <v>25063</v>
      </c>
      <c r="C445" s="2">
        <v>223198</v>
      </c>
      <c r="D445" s="5">
        <f>+VLOOKUP(A445,Sheet6!A:D,4,0)</f>
        <v>0.14382022471910111</v>
      </c>
      <c r="E445" s="5">
        <f t="shared" si="7"/>
        <v>3.6045662921348312</v>
      </c>
      <c r="F445" s="5" cm="1">
        <f t="array" ref="F445">_xlfn.IFS(
    AND(C445&gt;C$535,D445&lt;D$535),1,
    AND(C445&gt;C$535,D445&gt;D$535),2,
    AND(C445&lt;C$535,D445&lt;D$535),4,
    AND(C445&lt;C$535,D445&gt;D$535),3,
    TRUE,""
)</f>
        <v>2</v>
      </c>
    </row>
    <row r="446" spans="1:6" x14ac:dyDescent="0.35">
      <c r="A446" s="1" t="s">
        <v>293</v>
      </c>
      <c r="B446" s="2">
        <v>44705</v>
      </c>
      <c r="C446" s="2">
        <v>334395</v>
      </c>
      <c r="D446" s="5">
        <f>+VLOOKUP(A446,Sheet6!A:D,4,0)</f>
        <v>0.14365671641791045</v>
      </c>
      <c r="E446" s="5">
        <f t="shared" si="7"/>
        <v>6.4221735074626869</v>
      </c>
      <c r="F446" s="5" cm="1">
        <f t="array" ref="F446">_xlfn.IFS(
    AND(C446&gt;C$535,D446&lt;D$535),1,
    AND(C446&gt;C$535,D446&gt;D$535),2,
    AND(C446&lt;C$535,D446&lt;D$535),4,
    AND(C446&lt;C$535,D446&gt;D$535),3,
    TRUE,""
)</f>
        <v>2</v>
      </c>
    </row>
    <row r="447" spans="1:6" x14ac:dyDescent="0.35">
      <c r="A447" s="1" t="s">
        <v>433</v>
      </c>
      <c r="B447" s="2">
        <v>67118</v>
      </c>
      <c r="C447" s="2">
        <v>258276</v>
      </c>
      <c r="D447" s="5">
        <f>+VLOOKUP(A447,Sheet6!A:D,4,0)</f>
        <v>0.14247491638795987</v>
      </c>
      <c r="E447" s="5">
        <f t="shared" si="7"/>
        <v>9.5626314381270898</v>
      </c>
      <c r="F447" s="5" cm="1">
        <f t="array" ref="F447">_xlfn.IFS(
    AND(C447&gt;C$535,D447&lt;D$535),1,
    AND(C447&gt;C$535,D447&gt;D$535),2,
    AND(C447&lt;C$535,D447&lt;D$535),4,
    AND(C447&lt;C$535,D447&gt;D$535),3,
    TRUE,""
)</f>
        <v>2</v>
      </c>
    </row>
    <row r="448" spans="1:6" x14ac:dyDescent="0.35">
      <c r="A448" s="1" t="s">
        <v>104</v>
      </c>
      <c r="B448" s="2">
        <v>25862</v>
      </c>
      <c r="C448" s="2">
        <v>264092</v>
      </c>
      <c r="D448" s="5">
        <f>+VLOOKUP(A448,Sheet6!A:D,4,0)</f>
        <v>0.14143094841930118</v>
      </c>
      <c r="E448" s="5">
        <f t="shared" si="7"/>
        <v>3.6576871880199668</v>
      </c>
      <c r="F448" s="5" cm="1">
        <f t="array" ref="F448">_xlfn.IFS(
    AND(C448&gt;C$535,D448&lt;D$535),1,
    AND(C448&gt;C$535,D448&gt;D$535),2,
    AND(C448&lt;C$535,D448&lt;D$535),4,
    AND(C448&lt;C$535,D448&gt;D$535),3,
    TRUE,""
)</f>
        <v>2</v>
      </c>
    </row>
    <row r="449" spans="1:6" x14ac:dyDescent="0.35">
      <c r="A449" s="1" t="s">
        <v>76</v>
      </c>
      <c r="B449" s="2">
        <v>36896</v>
      </c>
      <c r="C449" s="2">
        <v>225149</v>
      </c>
      <c r="D449" s="5">
        <f>+VLOOKUP(A449,Sheet6!A:D,4,0)</f>
        <v>0.14119922630560927</v>
      </c>
      <c r="E449" s="5">
        <f t="shared" si="7"/>
        <v>5.2096866537717599</v>
      </c>
      <c r="F449" s="5" cm="1">
        <f t="array" ref="F449">_xlfn.IFS(
    AND(C449&gt;C$535,D449&lt;D$535),1,
    AND(C449&gt;C$535,D449&gt;D$535),2,
    AND(C449&lt;C$535,D449&lt;D$535),4,
    AND(C449&lt;C$535,D449&gt;D$535),3,
    TRUE,""
)</f>
        <v>2</v>
      </c>
    </row>
    <row r="450" spans="1:6" x14ac:dyDescent="0.35">
      <c r="A450" s="1" t="s">
        <v>162</v>
      </c>
      <c r="B450" s="2">
        <v>55592</v>
      </c>
      <c r="C450" s="2">
        <v>355825</v>
      </c>
      <c r="D450" s="5">
        <f>+VLOOKUP(A450,Sheet6!A:D,4,0)</f>
        <v>0.1407811080835604</v>
      </c>
      <c r="E450" s="5">
        <f t="shared" si="7"/>
        <v>7.8263033605812895</v>
      </c>
      <c r="F450" s="5" cm="1">
        <f t="array" ref="F450">_xlfn.IFS(
    AND(C450&gt;C$535,D450&lt;D$535),1,
    AND(C450&gt;C$535,D450&gt;D$535),2,
    AND(C450&lt;C$535,D450&lt;D$535),4,
    AND(C450&lt;C$535,D450&gt;D$535),3,
    TRUE,""
)</f>
        <v>2</v>
      </c>
    </row>
    <row r="451" spans="1:6" x14ac:dyDescent="0.35">
      <c r="A451" s="1" t="s">
        <v>95</v>
      </c>
      <c r="B451" s="2">
        <v>21366</v>
      </c>
      <c r="C451" s="2">
        <v>202328</v>
      </c>
      <c r="D451" s="5">
        <f>+VLOOKUP(A451,Sheet6!A:D,4,0)</f>
        <v>0.1371308016877637</v>
      </c>
      <c r="E451" s="5">
        <f t="shared" si="7"/>
        <v>2.9299367088607591</v>
      </c>
      <c r="F451" s="5" cm="1">
        <f t="array" ref="F451">_xlfn.IFS(
    AND(C451&gt;C$535,D451&lt;D$535),1,
    AND(C451&gt;C$535,D451&gt;D$535),2,
    AND(C451&lt;C$535,D451&lt;D$535),4,
    AND(C451&lt;C$535,D451&gt;D$535),3,
    TRUE,""
)</f>
        <v>3</v>
      </c>
    </row>
    <row r="452" spans="1:6" x14ac:dyDescent="0.35">
      <c r="A452" s="1" t="s">
        <v>468</v>
      </c>
      <c r="B452" s="2">
        <v>69492</v>
      </c>
      <c r="C452" s="2">
        <v>231653</v>
      </c>
      <c r="D452" s="5">
        <f>+VLOOKUP(A452,Sheet6!A:D,4,0)</f>
        <v>0.13703443429374559</v>
      </c>
      <c r="E452" s="5">
        <f t="shared" si="7"/>
        <v>9.5227969079409682</v>
      </c>
      <c r="F452" s="5" cm="1">
        <f t="array" ref="F452">_xlfn.IFS(
    AND(C452&gt;C$535,D452&lt;D$535),1,
    AND(C452&gt;C$535,D452&gt;D$535),2,
    AND(C452&lt;C$535,D452&lt;D$535),4,
    AND(C452&lt;C$535,D452&gt;D$535),3,
    TRUE,""
)</f>
        <v>2</v>
      </c>
    </row>
    <row r="453" spans="1:6" x14ac:dyDescent="0.35">
      <c r="A453" s="1" t="s">
        <v>113</v>
      </c>
      <c r="B453" s="2">
        <v>3307</v>
      </c>
      <c r="C453" s="2">
        <v>251923</v>
      </c>
      <c r="D453" s="5">
        <f>+VLOOKUP(A453,Sheet6!A:D,4,0)</f>
        <v>0.13636363636363635</v>
      </c>
      <c r="E453" s="5">
        <f t="shared" si="7"/>
        <v>0.45095454545454544</v>
      </c>
      <c r="F453" s="5" cm="1">
        <f t="array" ref="F453">_xlfn.IFS(
    AND(C453&gt;C$535,D453&lt;D$535),1,
    AND(C453&gt;C$535,D453&gt;D$535),2,
    AND(C453&lt;C$535,D453&lt;D$535),4,
    AND(C453&lt;C$535,D453&gt;D$535),3,
    TRUE,""
)</f>
        <v>2</v>
      </c>
    </row>
    <row r="454" spans="1:6" x14ac:dyDescent="0.35">
      <c r="A454" s="1" t="s">
        <v>489</v>
      </c>
      <c r="B454" s="2">
        <v>69349</v>
      </c>
      <c r="C454" s="2">
        <v>245929</v>
      </c>
      <c r="D454" s="5">
        <f>+VLOOKUP(A454,Sheet6!A:D,4,0)</f>
        <v>0.13501291989664083</v>
      </c>
      <c r="E454" s="5">
        <f t="shared" si="7"/>
        <v>9.3630109819121436</v>
      </c>
      <c r="F454" s="5" cm="1">
        <f t="array" ref="F454">_xlfn.IFS(
    AND(C454&gt;C$535,D454&lt;D$535),1,
    AND(C454&gt;C$535,D454&gt;D$535),2,
    AND(C454&lt;C$535,D454&lt;D$535),4,
    AND(C454&lt;C$535,D454&gt;D$535),3,
    TRUE,""
)</f>
        <v>2</v>
      </c>
    </row>
    <row r="455" spans="1:6" x14ac:dyDescent="0.35">
      <c r="A455" s="1" t="s">
        <v>454</v>
      </c>
      <c r="B455" s="2">
        <v>59405</v>
      </c>
      <c r="C455" s="2">
        <v>245282</v>
      </c>
      <c r="D455" s="5">
        <f>+VLOOKUP(A455,Sheet6!A:D,4,0)</f>
        <v>0.1346613545816733</v>
      </c>
      <c r="E455" s="5">
        <f t="shared" si="7"/>
        <v>7.9995577689243031</v>
      </c>
      <c r="F455" s="5" cm="1">
        <f t="array" ref="F455">_xlfn.IFS(
    AND(C455&gt;C$535,D455&lt;D$535),1,
    AND(C455&gt;C$535,D455&gt;D$535),2,
    AND(C455&lt;C$535,D455&lt;D$535),4,
    AND(C455&lt;C$535,D455&gt;D$535),3,
    TRUE,""
)</f>
        <v>2</v>
      </c>
    </row>
    <row r="456" spans="1:6" x14ac:dyDescent="0.35">
      <c r="A456" s="1" t="s">
        <v>116</v>
      </c>
      <c r="B456" s="2">
        <v>3007</v>
      </c>
      <c r="C456" s="2">
        <v>228811</v>
      </c>
      <c r="D456" s="5">
        <f>+VLOOKUP(A456,Sheet6!A:D,4,0)</f>
        <v>0.13043478260869565</v>
      </c>
      <c r="E456" s="5">
        <f t="shared" si="7"/>
        <v>0.3922173913043478</v>
      </c>
      <c r="F456" s="5" cm="1">
        <f t="array" ref="F456">_xlfn.IFS(
    AND(C456&gt;C$535,D456&lt;D$535),1,
    AND(C456&gt;C$535,D456&gt;D$535),2,
    AND(C456&lt;C$535,D456&lt;D$535),4,
    AND(C456&lt;C$535,D456&gt;D$535),3,
    TRUE,""
)</f>
        <v>2</v>
      </c>
    </row>
    <row r="457" spans="1:6" x14ac:dyDescent="0.35">
      <c r="A457" s="1" t="s">
        <v>316</v>
      </c>
      <c r="B457" s="2">
        <v>56661</v>
      </c>
      <c r="C457" s="2">
        <v>206155</v>
      </c>
      <c r="D457" s="5">
        <f>+VLOOKUP(A457,Sheet6!A:D,4,0)</f>
        <v>0.13033359193173003</v>
      </c>
      <c r="E457" s="5">
        <f t="shared" si="7"/>
        <v>7.3848316524437552</v>
      </c>
      <c r="F457" s="5" cm="1">
        <f t="array" ref="F457">_xlfn.IFS(
    AND(C457&gt;C$535,D457&lt;D$535),1,
    AND(C457&gt;C$535,D457&gt;D$535),2,
    AND(C457&lt;C$535,D457&lt;D$535),4,
    AND(C457&lt;C$535,D457&gt;D$535),3,
    TRUE,""
)</f>
        <v>3</v>
      </c>
    </row>
    <row r="458" spans="1:6" x14ac:dyDescent="0.35">
      <c r="A458" s="1" t="s">
        <v>436</v>
      </c>
      <c r="B458" s="2">
        <v>5129</v>
      </c>
      <c r="C458" s="2">
        <v>191852</v>
      </c>
      <c r="D458" s="5">
        <f>+VLOOKUP(A458,Sheet6!A:D,4,0)</f>
        <v>0.12962962962962962</v>
      </c>
      <c r="E458" s="5">
        <f t="shared" si="7"/>
        <v>0.66487037037037033</v>
      </c>
      <c r="F458" s="5" cm="1">
        <f t="array" ref="F458">_xlfn.IFS(
    AND(C458&gt;C$535,D458&lt;D$535),1,
    AND(C458&gt;C$535,D458&gt;D$535),2,
    AND(C458&lt;C$535,D458&lt;D$535),4,
    AND(C458&lt;C$535,D458&gt;D$535),3,
    TRUE,""
)</f>
        <v>3</v>
      </c>
    </row>
    <row r="459" spans="1:6" x14ac:dyDescent="0.35">
      <c r="A459" s="1" t="s">
        <v>369</v>
      </c>
      <c r="B459" s="2">
        <v>2895</v>
      </c>
      <c r="C459" s="2">
        <v>157512</v>
      </c>
      <c r="D459" s="5">
        <f>+VLOOKUP(A459,Sheet6!A:D,4,0)</f>
        <v>0.12857142857142859</v>
      </c>
      <c r="E459" s="5">
        <f t="shared" si="7"/>
        <v>0.37221428571428578</v>
      </c>
      <c r="F459" s="5" cm="1">
        <f t="array" ref="F459">_xlfn.IFS(
    AND(C459&gt;C$535,D459&lt;D$535),1,
    AND(C459&gt;C$535,D459&gt;D$535),2,
    AND(C459&lt;C$535,D459&lt;D$535),4,
    AND(C459&lt;C$535,D459&gt;D$535),3,
    TRUE,""
)</f>
        <v>3</v>
      </c>
    </row>
    <row r="460" spans="1:6" x14ac:dyDescent="0.35">
      <c r="A460" s="1" t="s">
        <v>510</v>
      </c>
      <c r="B460" s="2">
        <v>2866</v>
      </c>
      <c r="C460" s="2">
        <v>126298</v>
      </c>
      <c r="D460" s="5">
        <f>+VLOOKUP(A460,Sheet6!A:D,4,0)</f>
        <v>0.12857142857142859</v>
      </c>
      <c r="E460" s="5">
        <f t="shared" si="7"/>
        <v>0.36848571428571431</v>
      </c>
      <c r="F460" s="5" cm="1">
        <f t="array" ref="F460">_xlfn.IFS(
    AND(C460&gt;C$535,D460&lt;D$535),1,
    AND(C460&gt;C$535,D460&gt;D$535),2,
    AND(C460&lt;C$535,D460&lt;D$535),4,
    AND(C460&lt;C$535,D460&gt;D$535),3,
    TRUE,""
)</f>
        <v>3</v>
      </c>
    </row>
    <row r="461" spans="1:6" x14ac:dyDescent="0.35">
      <c r="A461" s="1" t="s">
        <v>187</v>
      </c>
      <c r="B461" s="2">
        <v>59451</v>
      </c>
      <c r="C461" s="2">
        <v>335669</v>
      </c>
      <c r="D461" s="5">
        <f>+VLOOKUP(A461,Sheet6!A:D,4,0)</f>
        <v>0.12776176753121998</v>
      </c>
      <c r="E461" s="5">
        <f t="shared" si="7"/>
        <v>7.5955648414985593</v>
      </c>
      <c r="F461" s="5" cm="1">
        <f t="array" ref="F461">_xlfn.IFS(
    AND(C461&gt;C$535,D461&lt;D$535),1,
    AND(C461&gt;C$535,D461&gt;D$535),2,
    AND(C461&lt;C$535,D461&lt;D$535),4,
    AND(C461&lt;C$535,D461&gt;D$535),3,
    TRUE,""
)</f>
        <v>2</v>
      </c>
    </row>
    <row r="462" spans="1:6" x14ac:dyDescent="0.35">
      <c r="A462" s="1" t="s">
        <v>200</v>
      </c>
      <c r="B462" s="1">
        <v>7.14</v>
      </c>
      <c r="C462" s="2">
        <v>201131</v>
      </c>
      <c r="D462" s="5">
        <f>+VLOOKUP(A462,Sheet6!A:D,4,0)</f>
        <v>0.12727272727272726</v>
      </c>
      <c r="E462" s="5">
        <f t="shared" si="7"/>
        <v>9.0872727272727264E-4</v>
      </c>
      <c r="F462" s="5" cm="1">
        <f t="array" ref="F462">_xlfn.IFS(
    AND(C462&gt;C$535,D462&lt;D$535),1,
    AND(C462&gt;C$535,D462&gt;D$535),2,
    AND(C462&lt;C$535,D462&lt;D$535),4,
    AND(C462&lt;C$535,D462&gt;D$535),3,
    TRUE,""
)</f>
        <v>3</v>
      </c>
    </row>
    <row r="463" spans="1:6" x14ac:dyDescent="0.35">
      <c r="A463" s="1" t="s">
        <v>485</v>
      </c>
      <c r="B463" s="1">
        <v>42.1</v>
      </c>
      <c r="C463" s="2">
        <v>251401</v>
      </c>
      <c r="D463" s="5">
        <f>+VLOOKUP(A463,Sheet6!A:D,4,0)</f>
        <v>0.12672176308539942</v>
      </c>
      <c r="E463" s="5">
        <f t="shared" si="7"/>
        <v>5.3349862258953154E-3</v>
      </c>
      <c r="F463" s="5" cm="1">
        <f t="array" ref="F463">_xlfn.IFS(
    AND(C463&gt;C$535,D463&lt;D$535),1,
    AND(C463&gt;C$535,D463&gt;D$535),2,
    AND(C463&lt;C$535,D463&lt;D$535),4,
    AND(C463&lt;C$535,D463&gt;D$535),3,
    TRUE,""
)</f>
        <v>2</v>
      </c>
    </row>
    <row r="464" spans="1:6" x14ac:dyDescent="0.35">
      <c r="A464" s="1" t="s">
        <v>78</v>
      </c>
      <c r="B464" s="2">
        <v>2917</v>
      </c>
      <c r="C464" s="2">
        <v>223858</v>
      </c>
      <c r="D464" s="5">
        <f>+VLOOKUP(A464,Sheet6!A:D,4,0)</f>
        <v>0.125</v>
      </c>
      <c r="E464" s="5">
        <f t="shared" si="7"/>
        <v>0.36462499999999998</v>
      </c>
      <c r="F464" s="5" cm="1">
        <f t="array" ref="F464">_xlfn.IFS(
    AND(C464&gt;C$535,D464&lt;D$535),1,
    AND(C464&gt;C$535,D464&gt;D$535),2,
    AND(C464&lt;C$535,D464&lt;D$535),4,
    AND(C464&lt;C$535,D464&gt;D$535),3,
    TRUE,""
)</f>
        <v>2</v>
      </c>
    </row>
    <row r="465" spans="1:6" x14ac:dyDescent="0.35">
      <c r="A465" s="1" t="s">
        <v>144</v>
      </c>
      <c r="B465" s="2">
        <v>36589</v>
      </c>
      <c r="C465" s="2">
        <v>367655</v>
      </c>
      <c r="D465" s="5">
        <f>+VLOOKUP(A465,Sheet6!A:D,4,0)</f>
        <v>0.12483221476510067</v>
      </c>
      <c r="E465" s="5">
        <f t="shared" si="7"/>
        <v>4.5674859060402691</v>
      </c>
      <c r="F465" s="5" cm="1">
        <f t="array" ref="F465">_xlfn.IFS(
    AND(C465&gt;C$535,D465&lt;D$535),1,
    AND(C465&gt;C$535,D465&gt;D$535),2,
    AND(C465&lt;C$535,D465&lt;D$535),4,
    AND(C465&lt;C$535,D465&gt;D$535),3,
    TRUE,""
)</f>
        <v>2</v>
      </c>
    </row>
    <row r="466" spans="1:6" x14ac:dyDescent="0.35">
      <c r="A466" s="1" t="s">
        <v>132</v>
      </c>
      <c r="B466" s="2">
        <v>9524</v>
      </c>
      <c r="C466" s="2">
        <v>329076</v>
      </c>
      <c r="D466" s="5">
        <f>+VLOOKUP(A466,Sheet6!A:D,4,0)</f>
        <v>0.12406015037593984</v>
      </c>
      <c r="E466" s="5">
        <f t="shared" si="7"/>
        <v>1.181548872180451</v>
      </c>
      <c r="F466" s="5" cm="1">
        <f t="array" ref="F466">_xlfn.IFS(
    AND(C466&gt;C$535,D466&lt;D$535),1,
    AND(C466&gt;C$535,D466&gt;D$535),2,
    AND(C466&lt;C$535,D466&lt;D$535),4,
    AND(C466&lt;C$535,D466&gt;D$535),3,
    TRUE,""
)</f>
        <v>2</v>
      </c>
    </row>
    <row r="467" spans="1:6" x14ac:dyDescent="0.35">
      <c r="A467" s="1" t="s">
        <v>196</v>
      </c>
      <c r="B467" s="2">
        <v>59803</v>
      </c>
      <c r="C467" s="1">
        <v>241.66</v>
      </c>
      <c r="D467" s="5">
        <f>+VLOOKUP(A467,Sheet6!A:D,4,0)</f>
        <v>0.12252663622526637</v>
      </c>
      <c r="E467" s="5">
        <f t="shared" si="7"/>
        <v>7.3274604261796048</v>
      </c>
      <c r="F467" s="5" cm="1">
        <f t="array" ref="F467">_xlfn.IFS(
    AND(C467&gt;C$535,D467&lt;D$535),1,
    AND(C467&gt;C$535,D467&gt;D$535),2,
    AND(C467&lt;C$535,D467&lt;D$535),4,
    AND(C467&lt;C$535,D467&gt;D$535),3,
    TRUE,""
)</f>
        <v>3</v>
      </c>
    </row>
    <row r="468" spans="1:6" x14ac:dyDescent="0.35">
      <c r="A468" s="1" t="s">
        <v>425</v>
      </c>
      <c r="B468" s="2">
        <v>2737</v>
      </c>
      <c r="C468" s="2">
        <v>166607</v>
      </c>
      <c r="D468" s="5">
        <f>+VLOOKUP(A468,Sheet6!A:D,4,0)</f>
        <v>0.12195121951219513</v>
      </c>
      <c r="E468" s="5">
        <f t="shared" si="7"/>
        <v>0.33378048780487807</v>
      </c>
      <c r="F468" s="5" cm="1">
        <f t="array" ref="F468">_xlfn.IFS(
    AND(C468&gt;C$535,D468&lt;D$535),1,
    AND(C468&gt;C$535,D468&gt;D$535),2,
    AND(C468&lt;C$535,D468&lt;D$535),4,
    AND(C468&lt;C$535,D468&gt;D$535),3,
    TRUE,""
)</f>
        <v>3</v>
      </c>
    </row>
    <row r="469" spans="1:6" x14ac:dyDescent="0.35">
      <c r="A469" s="1" t="s">
        <v>339</v>
      </c>
      <c r="B469" s="2">
        <v>38629</v>
      </c>
      <c r="C469" s="2">
        <v>272667</v>
      </c>
      <c r="D469" s="5">
        <f>+VLOOKUP(A469,Sheet6!A:D,4,0)</f>
        <v>0.12143611404435056</v>
      </c>
      <c r="E469" s="5">
        <f t="shared" si="7"/>
        <v>4.6909556494192177</v>
      </c>
      <c r="F469" s="5" cm="1">
        <f t="array" ref="F469">_xlfn.IFS(
    AND(C469&gt;C$535,D469&lt;D$535),1,
    AND(C469&gt;C$535,D469&gt;D$535),2,
    AND(C469&lt;C$535,D469&lt;D$535),4,
    AND(C469&lt;C$535,D469&gt;D$535),3,
    TRUE,""
)</f>
        <v>2</v>
      </c>
    </row>
    <row r="470" spans="1:6" x14ac:dyDescent="0.35">
      <c r="A470" s="1" t="s">
        <v>80</v>
      </c>
      <c r="B470" s="2">
        <v>39621</v>
      </c>
      <c r="C470" s="2">
        <v>273923</v>
      </c>
      <c r="D470" s="5">
        <f>+VLOOKUP(A470,Sheet6!A:D,4,0)</f>
        <v>0.11995249406175772</v>
      </c>
      <c r="E470" s="5">
        <f t="shared" si="7"/>
        <v>4.7526377672209028</v>
      </c>
      <c r="F470" s="5" cm="1">
        <f t="array" ref="F470">_xlfn.IFS(
    AND(C470&gt;C$535,D470&lt;D$535),1,
    AND(C470&gt;C$535,D470&gt;D$535),2,
    AND(C470&lt;C$535,D470&lt;D$535),4,
    AND(C470&lt;C$535,D470&gt;D$535),3,
    TRUE,""
)</f>
        <v>2</v>
      </c>
    </row>
    <row r="471" spans="1:6" x14ac:dyDescent="0.35">
      <c r="A471" s="1" t="s">
        <v>366</v>
      </c>
      <c r="B471" s="2">
        <v>57616</v>
      </c>
      <c r="C471" s="2">
        <v>263157</v>
      </c>
      <c r="D471" s="5">
        <f>+VLOOKUP(A471,Sheet6!A:D,4,0)</f>
        <v>0.11748251748251748</v>
      </c>
      <c r="E471" s="5">
        <f t="shared" si="7"/>
        <v>6.7688727272727274</v>
      </c>
      <c r="F471" s="5" cm="1">
        <f t="array" ref="F471">_xlfn.IFS(
    AND(C471&gt;C$535,D471&lt;D$535),1,
    AND(C471&gt;C$535,D471&gt;D$535),2,
    AND(C471&lt;C$535,D471&lt;D$535),4,
    AND(C471&lt;C$535,D471&gt;D$535),3,
    TRUE,""
)</f>
        <v>2</v>
      </c>
    </row>
    <row r="472" spans="1:6" x14ac:dyDescent="0.35">
      <c r="A472" s="1" t="s">
        <v>517</v>
      </c>
      <c r="B472" s="2">
        <v>76759</v>
      </c>
      <c r="C472" s="2">
        <v>327897</v>
      </c>
      <c r="D472" s="5">
        <f>+VLOOKUP(A472,Sheet6!A:D,4,0)</f>
        <v>0.11735769501054111</v>
      </c>
      <c r="E472" s="5">
        <f t="shared" si="7"/>
        <v>9.0082593113141254</v>
      </c>
      <c r="F472" s="5" cm="1">
        <f t="array" ref="F472">_xlfn.IFS(
    AND(C472&gt;C$535,D472&lt;D$535),1,
    AND(C472&gt;C$535,D472&gt;D$535),2,
    AND(C472&lt;C$535,D472&lt;D$535),4,
    AND(C472&lt;C$535,D472&gt;D$535),3,
    TRUE,""
)</f>
        <v>2</v>
      </c>
    </row>
    <row r="473" spans="1:6" x14ac:dyDescent="0.35">
      <c r="A473" s="1" t="s">
        <v>44</v>
      </c>
      <c r="B473" s="2">
        <v>27947</v>
      </c>
      <c r="C473" s="2">
        <v>323036</v>
      </c>
      <c r="D473" s="5">
        <f>+VLOOKUP(A473,Sheet6!A:D,4,0)</f>
        <v>0.11643835616438357</v>
      </c>
      <c r="E473" s="5">
        <f t="shared" si="7"/>
        <v>3.2541027397260276</v>
      </c>
      <c r="F473" s="5" cm="1">
        <f t="array" ref="F473">_xlfn.IFS(
    AND(C473&gt;C$535,D473&lt;D$535),1,
    AND(C473&gt;C$535,D473&gt;D$535),2,
    AND(C473&lt;C$535,D473&lt;D$535),4,
    AND(C473&lt;C$535,D473&gt;D$535),3,
    TRUE,""
)</f>
        <v>2</v>
      </c>
    </row>
    <row r="474" spans="1:6" x14ac:dyDescent="0.35">
      <c r="A474" s="1" t="s">
        <v>37</v>
      </c>
      <c r="B474" s="2">
        <v>13616</v>
      </c>
      <c r="C474" s="2">
        <v>386386</v>
      </c>
      <c r="D474" s="5">
        <f>+VLOOKUP(A474,Sheet6!A:D,4,0)</f>
        <v>0.11634349030470914</v>
      </c>
      <c r="E474" s="5">
        <f t="shared" si="7"/>
        <v>1.5841329639889197</v>
      </c>
      <c r="F474" s="5" cm="1">
        <f t="array" ref="F474">_xlfn.IFS(
    AND(C474&gt;C$535,D474&lt;D$535),1,
    AND(C474&gt;C$535,D474&gt;D$535),2,
    AND(C474&lt;C$535,D474&lt;D$535),4,
    AND(C474&lt;C$535,D474&gt;D$535),3,
    TRUE,""
)</f>
        <v>2</v>
      </c>
    </row>
    <row r="475" spans="1:6" x14ac:dyDescent="0.35">
      <c r="A475" s="1" t="s">
        <v>531</v>
      </c>
      <c r="B475" s="2">
        <v>2773</v>
      </c>
      <c r="C475" s="2">
        <v>152189</v>
      </c>
      <c r="D475" s="5">
        <f>+VLOOKUP(A475,Sheet6!A:D,4,0)</f>
        <v>0.11578947368421053</v>
      </c>
      <c r="E475" s="5">
        <f t="shared" si="7"/>
        <v>0.32108421052631581</v>
      </c>
      <c r="F475" s="5" cm="1">
        <f t="array" ref="F475">_xlfn.IFS(
    AND(C475&gt;C$535,D475&lt;D$535),1,
    AND(C475&gt;C$535,D475&gt;D$535),2,
    AND(C475&lt;C$535,D475&lt;D$535),4,
    AND(C475&lt;C$535,D475&gt;D$535),3,
    TRUE,""
)</f>
        <v>3</v>
      </c>
    </row>
    <row r="476" spans="1:6" x14ac:dyDescent="0.35">
      <c r="A476" s="1" t="s">
        <v>409</v>
      </c>
      <c r="B476" s="2">
        <v>16233</v>
      </c>
      <c r="C476" s="2">
        <v>232922</v>
      </c>
      <c r="D476" s="5">
        <f>+VLOOKUP(A476,Sheet6!A:D,4,0)</f>
        <v>0.11333333333333334</v>
      </c>
      <c r="E476" s="5">
        <f t="shared" si="7"/>
        <v>1.8397400000000002</v>
      </c>
      <c r="F476" s="5" cm="1">
        <f t="array" ref="F476">_xlfn.IFS(
    AND(C476&gt;C$535,D476&lt;D$535),1,
    AND(C476&gt;C$535,D476&gt;D$535),2,
    AND(C476&lt;C$535,D476&lt;D$535),4,
    AND(C476&lt;C$535,D476&gt;D$535),3,
    TRUE,""
)</f>
        <v>2</v>
      </c>
    </row>
    <row r="477" spans="1:6" x14ac:dyDescent="0.35">
      <c r="A477" s="1" t="s">
        <v>514</v>
      </c>
      <c r="B477" s="2">
        <v>2891</v>
      </c>
      <c r="C477" s="2">
        <v>126271</v>
      </c>
      <c r="D477" s="5">
        <f>+VLOOKUP(A477,Sheet6!A:D,4,0)</f>
        <v>0.11290322580645162</v>
      </c>
      <c r="E477" s="5">
        <f t="shared" si="7"/>
        <v>0.32640322580645165</v>
      </c>
      <c r="F477" s="5" cm="1">
        <f t="array" ref="F477">_xlfn.IFS(
    AND(C477&gt;C$535,D477&lt;D$535),1,
    AND(C477&gt;C$535,D477&gt;D$535),2,
    AND(C477&lt;C$535,D477&lt;D$535),4,
    AND(C477&lt;C$535,D477&gt;D$535),3,
    TRUE,""
)</f>
        <v>3</v>
      </c>
    </row>
    <row r="478" spans="1:6" x14ac:dyDescent="0.35">
      <c r="A478" s="1" t="s">
        <v>515</v>
      </c>
      <c r="B478" s="2">
        <v>69705</v>
      </c>
      <c r="C478" s="2">
        <v>296462</v>
      </c>
      <c r="D478" s="5">
        <f>+VLOOKUP(A478,Sheet6!A:D,4,0)</f>
        <v>0.11176470588235295</v>
      </c>
      <c r="E478" s="5">
        <f t="shared" si="7"/>
        <v>7.7905588235294116</v>
      </c>
      <c r="F478" s="5" cm="1">
        <f t="array" ref="F478">_xlfn.IFS(
    AND(C478&gt;C$535,D478&lt;D$535),1,
    AND(C478&gt;C$535,D478&gt;D$535),2,
    AND(C478&lt;C$535,D478&lt;D$535),4,
    AND(C478&lt;C$535,D478&gt;D$535),3,
    TRUE,""
)</f>
        <v>2</v>
      </c>
    </row>
    <row r="479" spans="1:6" x14ac:dyDescent="0.35">
      <c r="A479" s="1" t="s">
        <v>402</v>
      </c>
      <c r="B479" s="2">
        <v>58122</v>
      </c>
      <c r="C479" s="2">
        <v>272203</v>
      </c>
      <c r="D479" s="5">
        <f>+VLOOKUP(A479,Sheet6!A:D,4,0)</f>
        <v>0.11120471777590565</v>
      </c>
      <c r="E479" s="5">
        <f t="shared" si="7"/>
        <v>6.4634406065711882</v>
      </c>
      <c r="F479" s="5" cm="1">
        <f t="array" ref="F479">_xlfn.IFS(
    AND(C479&gt;C$535,D479&lt;D$535),1,
    AND(C479&gt;C$535,D479&gt;D$535),2,
    AND(C479&lt;C$535,D479&lt;D$535),4,
    AND(C479&lt;C$535,D479&gt;D$535),3,
    TRUE,""
)</f>
        <v>2</v>
      </c>
    </row>
    <row r="480" spans="1:6" x14ac:dyDescent="0.35">
      <c r="A480" s="1" t="s">
        <v>393</v>
      </c>
      <c r="B480" s="2">
        <v>12462</v>
      </c>
      <c r="C480" s="2">
        <v>237525</v>
      </c>
      <c r="D480" s="5">
        <f>+VLOOKUP(A480,Sheet6!A:D,4,0)</f>
        <v>0.1086261980830671</v>
      </c>
      <c r="E480" s="5">
        <f t="shared" si="7"/>
        <v>1.3536996805111821</v>
      </c>
      <c r="F480" s="5" cm="1">
        <f t="array" ref="F480">_xlfn.IFS(
    AND(C480&gt;C$535,D480&lt;D$535),1,
    AND(C480&gt;C$535,D480&gt;D$535),2,
    AND(C480&lt;C$535,D480&lt;D$535),4,
    AND(C480&lt;C$535,D480&gt;D$535),3,
    TRUE,""
)</f>
        <v>2</v>
      </c>
    </row>
    <row r="481" spans="1:6" x14ac:dyDescent="0.35">
      <c r="A481" s="1" t="s">
        <v>256</v>
      </c>
      <c r="B481" s="2">
        <v>77272</v>
      </c>
      <c r="C481" s="2">
        <v>275676</v>
      </c>
      <c r="D481" s="5">
        <f>+VLOOKUP(A481,Sheet6!A:D,4,0)</f>
        <v>0.10736721873215303</v>
      </c>
      <c r="E481" s="5">
        <f t="shared" si="7"/>
        <v>8.2964797258709293</v>
      </c>
      <c r="F481" s="5" cm="1">
        <f t="array" ref="F481">_xlfn.IFS(
    AND(C481&gt;C$535,D481&lt;D$535),1,
    AND(C481&gt;C$535,D481&gt;D$535),2,
    AND(C481&lt;C$535,D481&lt;D$535),4,
    AND(C481&lt;C$535,D481&gt;D$535),3,
    TRUE,""
)</f>
        <v>2</v>
      </c>
    </row>
    <row r="482" spans="1:6" x14ac:dyDescent="0.35">
      <c r="A482" s="1" t="s">
        <v>442</v>
      </c>
      <c r="B482" s="2">
        <v>19753</v>
      </c>
      <c r="C482" s="2">
        <v>218552</v>
      </c>
      <c r="D482" s="5">
        <f>+VLOOKUP(A482,Sheet6!A:D,4,0)</f>
        <v>0.10687022900763359</v>
      </c>
      <c r="E482" s="5">
        <f t="shared" si="7"/>
        <v>2.1110076335877861</v>
      </c>
      <c r="F482" s="5" cm="1">
        <f t="array" ref="F482">_xlfn.IFS(
    AND(C482&gt;C$535,D482&lt;D$535),1,
    AND(C482&gt;C$535,D482&gt;D$535),2,
    AND(C482&lt;C$535,D482&lt;D$535),4,
    AND(C482&lt;C$535,D482&gt;D$535),3,
    TRUE,""
)</f>
        <v>2</v>
      </c>
    </row>
    <row r="483" spans="1:6" x14ac:dyDescent="0.35">
      <c r="A483" s="1" t="s">
        <v>138</v>
      </c>
      <c r="B483" s="1">
        <v>25.87</v>
      </c>
      <c r="C483" s="2">
        <v>274725</v>
      </c>
      <c r="D483" s="5">
        <f>+VLOOKUP(A483,Sheet6!A:D,4,0)</f>
        <v>0.10642570281124497</v>
      </c>
      <c r="E483" s="5">
        <f t="shared" si="7"/>
        <v>2.7532329317269074E-3</v>
      </c>
      <c r="F483" s="5" cm="1">
        <f t="array" ref="F483">_xlfn.IFS(
    AND(C483&gt;C$535,D483&lt;D$535),1,
    AND(C483&gt;C$535,D483&gt;D$535),2,
    AND(C483&lt;C$535,D483&lt;D$535),4,
    AND(C483&lt;C$535,D483&gt;D$535),3,
    TRUE,""
)</f>
        <v>2</v>
      </c>
    </row>
    <row r="484" spans="1:6" x14ac:dyDescent="0.35">
      <c r="A484" s="1" t="s">
        <v>310</v>
      </c>
      <c r="B484" s="2">
        <v>68286</v>
      </c>
      <c r="C484" s="2">
        <v>238556</v>
      </c>
      <c r="D484" s="5">
        <f>+VLOOKUP(A484,Sheet6!A:D,4,0)</f>
        <v>0.10605187319884726</v>
      </c>
      <c r="E484" s="5">
        <f t="shared" si="7"/>
        <v>7.2418582132564842</v>
      </c>
      <c r="F484" s="5" cm="1">
        <f t="array" ref="F484">_xlfn.IFS(
    AND(C484&gt;C$535,D484&lt;D$535),1,
    AND(C484&gt;C$535,D484&gt;D$535),2,
    AND(C484&lt;C$535,D484&lt;D$535),4,
    AND(C484&lt;C$535,D484&gt;D$535),3,
    TRUE,""
)</f>
        <v>2</v>
      </c>
    </row>
    <row r="485" spans="1:6" x14ac:dyDescent="0.35">
      <c r="A485" s="1" t="s">
        <v>53</v>
      </c>
      <c r="B485" s="2">
        <v>7755</v>
      </c>
      <c r="C485" s="2">
        <v>428115</v>
      </c>
      <c r="D485" s="5">
        <f>+VLOOKUP(A485,Sheet6!A:D,4,0)</f>
        <v>0.10455764075067024</v>
      </c>
      <c r="E485" s="5">
        <f t="shared" si="7"/>
        <v>0.8108445040214477</v>
      </c>
      <c r="F485" s="5" cm="1">
        <f t="array" ref="F485">_xlfn.IFS(
    AND(C485&gt;C$535,D485&lt;D$535),1,
    AND(C485&gt;C$535,D485&gt;D$535),2,
    AND(C485&lt;C$535,D485&lt;D$535),4,
    AND(C485&lt;C$535,D485&gt;D$535),3,
    TRUE,""
)</f>
        <v>2</v>
      </c>
    </row>
    <row r="486" spans="1:6" x14ac:dyDescent="0.35">
      <c r="A486" s="1" t="s">
        <v>457</v>
      </c>
      <c r="B486" s="2">
        <v>15456</v>
      </c>
      <c r="C486" s="2">
        <v>340251</v>
      </c>
      <c r="D486" s="5">
        <f>+VLOOKUP(A486,Sheet6!A:D,4,0)</f>
        <v>0.10452961672473866</v>
      </c>
      <c r="E486" s="5">
        <f t="shared" si="7"/>
        <v>1.6156097560975609</v>
      </c>
      <c r="F486" s="5" cm="1">
        <f t="array" ref="F486">_xlfn.IFS(
    AND(C486&gt;C$535,D486&lt;D$535),1,
    AND(C486&gt;C$535,D486&gt;D$535),2,
    AND(C486&lt;C$535,D486&lt;D$535),4,
    AND(C486&lt;C$535,D486&gt;D$535),3,
    TRUE,""
)</f>
        <v>2</v>
      </c>
    </row>
    <row r="487" spans="1:6" x14ac:dyDescent="0.35">
      <c r="A487" s="1" t="s">
        <v>168</v>
      </c>
      <c r="B487" s="2">
        <v>63292</v>
      </c>
      <c r="C487" s="2">
        <v>294003</v>
      </c>
      <c r="D487" s="5">
        <f>+VLOOKUP(A487,Sheet6!A:D,4,0)</f>
        <v>0.10429799426934099</v>
      </c>
      <c r="E487" s="5">
        <f t="shared" si="7"/>
        <v>6.601228653295129</v>
      </c>
      <c r="F487" s="5" cm="1">
        <f t="array" ref="F487">_xlfn.IFS(
    AND(C487&gt;C$535,D487&lt;D$535),1,
    AND(C487&gt;C$535,D487&gt;D$535),2,
    AND(C487&lt;C$535,D487&lt;D$535),4,
    AND(C487&lt;C$535,D487&gt;D$535),3,
    TRUE,""
)</f>
        <v>2</v>
      </c>
    </row>
    <row r="488" spans="1:6" x14ac:dyDescent="0.35">
      <c r="A488" s="1" t="s">
        <v>269</v>
      </c>
      <c r="B488" s="2">
        <v>49904</v>
      </c>
      <c r="C488" s="2">
        <v>394534</v>
      </c>
      <c r="D488" s="5">
        <f>+VLOOKUP(A488,Sheet6!A:D,4,0)</f>
        <v>0.10429447852760736</v>
      </c>
      <c r="E488" s="5">
        <f t="shared" si="7"/>
        <v>5.2047116564417175</v>
      </c>
      <c r="F488" s="5" cm="1">
        <f t="array" ref="F488">_xlfn.IFS(
    AND(C488&gt;C$535,D488&lt;D$535),1,
    AND(C488&gt;C$535,D488&gt;D$535),2,
    AND(C488&lt;C$535,D488&lt;D$535),4,
    AND(C488&lt;C$535,D488&gt;D$535),3,
    TRUE,""
)</f>
        <v>2</v>
      </c>
    </row>
    <row r="489" spans="1:6" x14ac:dyDescent="0.35">
      <c r="A489" s="1" t="s">
        <v>283</v>
      </c>
      <c r="B489" s="2">
        <v>58232</v>
      </c>
      <c r="C489" s="2">
        <v>284226</v>
      </c>
      <c r="D489" s="5">
        <f>+VLOOKUP(A489,Sheet6!A:D,4,0)</f>
        <v>0.1040268456375839</v>
      </c>
      <c r="E489" s="5">
        <f t="shared" si="7"/>
        <v>6.0576912751677856</v>
      </c>
      <c r="F489" s="5" cm="1">
        <f t="array" ref="F489">_xlfn.IFS(
    AND(C489&gt;C$535,D489&lt;D$535),1,
    AND(C489&gt;C$535,D489&gt;D$535),2,
    AND(C489&lt;C$535,D489&lt;D$535),4,
    AND(C489&lt;C$535,D489&gt;D$535),3,
    TRUE,""
)</f>
        <v>2</v>
      </c>
    </row>
    <row r="490" spans="1:6" x14ac:dyDescent="0.35">
      <c r="A490" s="1" t="s">
        <v>518</v>
      </c>
      <c r="B490" s="2">
        <v>32797</v>
      </c>
      <c r="C490" s="2">
        <v>251514</v>
      </c>
      <c r="D490" s="5">
        <f>+VLOOKUP(A490,Sheet6!A:D,4,0)</f>
        <v>0.10397946084724005</v>
      </c>
      <c r="E490" s="5">
        <f t="shared" si="7"/>
        <v>3.4102143774069318</v>
      </c>
      <c r="F490" s="5" cm="1">
        <f t="array" ref="F490">_xlfn.IFS(
    AND(C490&gt;C$535,D490&lt;D$535),1,
    AND(C490&gt;C$535,D490&gt;D$535),2,
    AND(C490&lt;C$535,D490&lt;D$535),4,
    AND(C490&lt;C$535,D490&gt;D$535),3,
    TRUE,""
)</f>
        <v>2</v>
      </c>
    </row>
    <row r="491" spans="1:6" x14ac:dyDescent="0.35">
      <c r="A491" s="1" t="s">
        <v>412</v>
      </c>
      <c r="B491" s="1">
        <v>24.3</v>
      </c>
      <c r="C491" s="2">
        <v>325846</v>
      </c>
      <c r="D491" s="5">
        <f>+VLOOKUP(A491,Sheet6!A:D,4,0)</f>
        <v>0.10391566265060241</v>
      </c>
      <c r="E491" s="5">
        <f t="shared" ref="E491:E539" si="8">(B491*D491)/1000</f>
        <v>2.5251506024096385E-3</v>
      </c>
      <c r="F491" s="5" cm="1">
        <f t="array" ref="F491">_xlfn.IFS(
    AND(C491&gt;C$535,D491&lt;D$535),1,
    AND(C491&gt;C$535,D491&gt;D$535),2,
    AND(C491&lt;C$535,D491&lt;D$535),4,
    AND(C491&lt;C$535,D491&gt;D$535),3,
    TRUE,""
)</f>
        <v>2</v>
      </c>
    </row>
    <row r="492" spans="1:6" x14ac:dyDescent="0.35">
      <c r="A492" s="1" t="s">
        <v>462</v>
      </c>
      <c r="B492" s="2">
        <v>11876</v>
      </c>
      <c r="C492" s="2">
        <v>402064</v>
      </c>
      <c r="D492" s="5">
        <f>+VLOOKUP(A492,Sheet6!A:D,4,0)</f>
        <v>0.10389610389610389</v>
      </c>
      <c r="E492" s="5">
        <f t="shared" si="8"/>
        <v>1.2338701298701298</v>
      </c>
      <c r="F492" s="5" cm="1">
        <f t="array" ref="F492">_xlfn.IFS(
    AND(C492&gt;C$535,D492&lt;D$535),1,
    AND(C492&gt;C$535,D492&gt;D$535),2,
    AND(C492&lt;C$535,D492&lt;D$535),4,
    AND(C492&lt;C$535,D492&gt;D$535),3,
    TRUE,""
)</f>
        <v>2</v>
      </c>
    </row>
    <row r="493" spans="1:6" x14ac:dyDescent="0.35">
      <c r="A493" s="1" t="s">
        <v>122</v>
      </c>
      <c r="B493" s="2">
        <v>34206</v>
      </c>
      <c r="C493" s="2">
        <v>241359</v>
      </c>
      <c r="D493" s="5">
        <f>+VLOOKUP(A493,Sheet6!A:D,4,0)</f>
        <v>0.10289389067524117</v>
      </c>
      <c r="E493" s="5">
        <f t="shared" si="8"/>
        <v>3.5195884244372997</v>
      </c>
      <c r="F493" s="5" cm="1">
        <f t="array" ref="F493">_xlfn.IFS(
    AND(C493&gt;C$535,D493&lt;D$535),1,
    AND(C493&gt;C$535,D493&gt;D$535),2,
    AND(C493&lt;C$535,D493&lt;D$535),4,
    AND(C493&lt;C$535,D493&gt;D$535),3,
    TRUE,""
)</f>
        <v>2</v>
      </c>
    </row>
    <row r="494" spans="1:6" x14ac:dyDescent="0.35">
      <c r="A494" s="1" t="s">
        <v>550</v>
      </c>
      <c r="B494" s="2">
        <v>60664</v>
      </c>
      <c r="C494" s="2">
        <v>273441</v>
      </c>
      <c r="D494" s="5">
        <f>+VLOOKUP(A494,Sheet6!A:D,4,0)</f>
        <v>0.1009104704097117</v>
      </c>
      <c r="E494" s="5">
        <f t="shared" si="8"/>
        <v>6.1216327769347512</v>
      </c>
      <c r="F494" s="5" cm="1">
        <f t="array" ref="F494">_xlfn.IFS(
    AND(C494&gt;C$535,D494&lt;D$535),1,
    AND(C494&gt;C$535,D494&gt;D$535),2,
    AND(C494&lt;C$535,D494&lt;D$535),4,
    AND(C494&lt;C$535,D494&gt;D$535),3,
    TRUE,""
)</f>
        <v>2</v>
      </c>
    </row>
    <row r="495" spans="1:6" x14ac:dyDescent="0.35">
      <c r="A495" s="1" t="s">
        <v>418</v>
      </c>
      <c r="B495" s="2">
        <v>14503</v>
      </c>
      <c r="C495" s="2">
        <v>277039</v>
      </c>
      <c r="D495" s="5">
        <f>+VLOOKUP(A495,Sheet6!A:D,4,0)</f>
        <v>0.10052910052910054</v>
      </c>
      <c r="E495" s="5">
        <f t="shared" si="8"/>
        <v>1.4579735449735451</v>
      </c>
      <c r="F495" s="5" cm="1">
        <f t="array" ref="F495">_xlfn.IFS(
    AND(C495&gt;C$535,D495&lt;D$535),1,
    AND(C495&gt;C$535,D495&gt;D$535),2,
    AND(C495&lt;C$535,D495&lt;D$535),4,
    AND(C495&lt;C$535,D495&gt;D$535),3,
    TRUE,""
)</f>
        <v>2</v>
      </c>
    </row>
    <row r="496" spans="1:6" x14ac:dyDescent="0.35">
      <c r="A496" s="1" t="s">
        <v>430</v>
      </c>
      <c r="B496" s="2">
        <v>31106</v>
      </c>
      <c r="C496" s="2">
        <v>327681</v>
      </c>
      <c r="D496" s="5">
        <f>+VLOOKUP(A496,Sheet6!A:D,4,0)</f>
        <v>9.9767981438515091E-2</v>
      </c>
      <c r="E496" s="5">
        <f t="shared" si="8"/>
        <v>3.1033828306264506</v>
      </c>
      <c r="F496" s="5" cm="1">
        <f t="array" ref="F496">_xlfn.IFS(
    AND(C496&gt;C$535,D496&lt;D$535),1,
    AND(C496&gt;C$535,D496&gt;D$535),2,
    AND(C496&lt;C$535,D496&lt;D$535),4,
    AND(C496&lt;C$535,D496&gt;D$535),3,
    TRUE,""
)</f>
        <v>2</v>
      </c>
    </row>
    <row r="497" spans="1:6" x14ac:dyDescent="0.35">
      <c r="A497" s="1" t="s">
        <v>389</v>
      </c>
      <c r="B497" s="2">
        <v>5417</v>
      </c>
      <c r="C497" s="2">
        <v>165403</v>
      </c>
      <c r="D497" s="5">
        <f>+VLOOKUP(A497,Sheet6!A:D,4,0)</f>
        <v>9.8360655737704916E-2</v>
      </c>
      <c r="E497" s="5">
        <f t="shared" si="8"/>
        <v>0.53281967213114756</v>
      </c>
      <c r="F497" s="5" cm="1">
        <f t="array" ref="F497">_xlfn.IFS(
    AND(C497&gt;C$535,D497&lt;D$535),1,
    AND(C497&gt;C$535,D497&gt;D$535),2,
    AND(C497&lt;C$535,D497&lt;D$535),4,
    AND(C497&lt;C$535,D497&gt;D$535),3,
    TRUE,""
)</f>
        <v>3</v>
      </c>
    </row>
    <row r="498" spans="1:6" x14ac:dyDescent="0.35">
      <c r="A498" s="1" t="s">
        <v>522</v>
      </c>
      <c r="B498" s="2">
        <v>21743</v>
      </c>
      <c r="C498" s="2">
        <v>242605</v>
      </c>
      <c r="D498" s="5">
        <f>+VLOOKUP(A498,Sheet6!A:D,4,0)</f>
        <v>9.8214285714285726E-2</v>
      </c>
      <c r="E498" s="5">
        <f t="shared" si="8"/>
        <v>2.1354732142857147</v>
      </c>
      <c r="F498" s="5" cm="1">
        <f t="array" ref="F498">_xlfn.IFS(
    AND(C498&gt;C$535,D498&lt;D$535),1,
    AND(C498&gt;C$535,D498&gt;D$535),2,
    AND(C498&lt;C$535,D498&lt;D$535),4,
    AND(C498&lt;C$535,D498&gt;D$535),3,
    TRUE,""
)</f>
        <v>2</v>
      </c>
    </row>
    <row r="499" spans="1:6" x14ac:dyDescent="0.35">
      <c r="A499" s="1" t="s">
        <v>50</v>
      </c>
      <c r="B499" s="2">
        <v>17367</v>
      </c>
      <c r="C499" s="2">
        <v>274427</v>
      </c>
      <c r="D499" s="5">
        <f>+VLOOKUP(A499,Sheet6!A:D,4,0)</f>
        <v>9.7165991902833995E-2</v>
      </c>
      <c r="E499" s="5">
        <f t="shared" si="8"/>
        <v>1.6874817813765179</v>
      </c>
      <c r="F499" s="5" cm="1">
        <f t="array" ref="F499">_xlfn.IFS(
    AND(C499&gt;C$535,D499&lt;D$535),1,
    AND(C499&gt;C$535,D499&gt;D$535),2,
    AND(C499&lt;C$535,D499&lt;D$535),4,
    AND(C499&lt;C$535,D499&gt;D$535),3,
    TRUE,""
)</f>
        <v>2</v>
      </c>
    </row>
    <row r="500" spans="1:6" x14ac:dyDescent="0.35">
      <c r="A500" s="1" t="s">
        <v>482</v>
      </c>
      <c r="B500" s="2">
        <v>12639</v>
      </c>
      <c r="C500" s="2">
        <v>381908</v>
      </c>
      <c r="D500" s="5">
        <f>+VLOOKUP(A500,Sheet6!A:D,4,0)</f>
        <v>9.6000000000000002E-2</v>
      </c>
      <c r="E500" s="5">
        <f t="shared" si="8"/>
        <v>1.213344</v>
      </c>
      <c r="F500" s="5" cm="1">
        <f t="array" ref="F500">_xlfn.IFS(
    AND(C500&gt;C$535,D500&lt;D$535),1,
    AND(C500&gt;C$535,D500&gt;D$535),2,
    AND(C500&lt;C$535,D500&lt;D$535),4,
    AND(C500&lt;C$535,D500&gt;D$535),3,
    TRUE,""
)</f>
        <v>2</v>
      </c>
    </row>
    <row r="501" spans="1:6" x14ac:dyDescent="0.35">
      <c r="A501" s="1" t="s">
        <v>452</v>
      </c>
      <c r="B501" s="2">
        <v>36931</v>
      </c>
      <c r="C501" s="2">
        <v>303807</v>
      </c>
      <c r="D501" s="5">
        <f>+VLOOKUP(A501,Sheet6!A:D,4,0)</f>
        <v>9.5541401273885357E-2</v>
      </c>
      <c r="E501" s="5">
        <f t="shared" si="8"/>
        <v>3.52843949044586</v>
      </c>
      <c r="F501" s="5" cm="1">
        <f t="array" ref="F501">_xlfn.IFS(
    AND(C501&gt;C$535,D501&lt;D$535),1,
    AND(C501&gt;C$535,D501&gt;D$535),2,
    AND(C501&lt;C$535,D501&lt;D$535),4,
    AND(C501&lt;C$535,D501&gt;D$535),3,
    TRUE,""
)</f>
        <v>2</v>
      </c>
    </row>
    <row r="502" spans="1:6" x14ac:dyDescent="0.35">
      <c r="A502" s="1" t="s">
        <v>294</v>
      </c>
      <c r="B502" s="1">
        <v>14.86</v>
      </c>
      <c r="C502" s="2">
        <v>324234</v>
      </c>
      <c r="D502" s="5">
        <f>+VLOOKUP(A502,Sheet6!A:D,4,0)</f>
        <v>9.2909535452322736E-2</v>
      </c>
      <c r="E502" s="5">
        <f t="shared" si="8"/>
        <v>1.3806356968215159E-3</v>
      </c>
      <c r="F502" s="5" cm="1">
        <f t="array" ref="F502">_xlfn.IFS(
    AND(C502&gt;C$535,D502&lt;D$535),1,
    AND(C502&gt;C$535,D502&gt;D$535),2,
    AND(C502&lt;C$535,D502&lt;D$535),4,
    AND(C502&lt;C$535,D502&gt;D$535),3,
    TRUE,""
)</f>
        <v>2</v>
      </c>
    </row>
    <row r="503" spans="1:6" x14ac:dyDescent="0.35">
      <c r="A503" s="1" t="s">
        <v>27</v>
      </c>
      <c r="B503" s="2">
        <v>37519</v>
      </c>
      <c r="C503" s="1">
        <v>351.34</v>
      </c>
      <c r="D503" s="5">
        <f>+VLOOKUP(A503,Sheet6!A:D,4,0)</f>
        <v>9.1472868217054262E-2</v>
      </c>
      <c r="E503" s="5">
        <f t="shared" si="8"/>
        <v>3.4319705426356593</v>
      </c>
      <c r="F503" s="5" cm="1">
        <f t="array" ref="F503">_xlfn.IFS(
    AND(C503&gt;C$535,D503&lt;D$535),1,
    AND(C503&gt;C$535,D503&gt;D$535),2,
    AND(C503&lt;C$535,D503&lt;D$535),4,
    AND(C503&lt;C$535,D503&gt;D$535),3,
    TRUE,""
)</f>
        <v>3</v>
      </c>
    </row>
    <row r="504" spans="1:6" x14ac:dyDescent="0.35">
      <c r="A504" s="1" t="s">
        <v>101</v>
      </c>
      <c r="B504" s="2">
        <v>8035</v>
      </c>
      <c r="C504" s="2">
        <v>254632</v>
      </c>
      <c r="D504" s="5">
        <f>+VLOOKUP(A504,Sheet6!A:D,4,0)</f>
        <v>9.0909090909090912E-2</v>
      </c>
      <c r="E504" s="5">
        <f t="shared" si="8"/>
        <v>0.73045454545454547</v>
      </c>
      <c r="F504" s="5" cm="1">
        <f t="array" ref="F504">_xlfn.IFS(
    AND(C504&gt;C$535,D504&lt;D$535),1,
    AND(C504&gt;C$535,D504&gt;D$535),2,
    AND(C504&lt;C$535,D504&lt;D$535),4,
    AND(C504&lt;C$535,D504&gt;D$535),3,
    TRUE,""
)</f>
        <v>2</v>
      </c>
    </row>
    <row r="505" spans="1:6" x14ac:dyDescent="0.35">
      <c r="A505" s="1" t="s">
        <v>234</v>
      </c>
      <c r="B505" s="2">
        <v>17161</v>
      </c>
      <c r="C505" s="2">
        <v>278711</v>
      </c>
      <c r="D505" s="5">
        <f>+VLOOKUP(A505,Sheet6!A:D,4,0)</f>
        <v>8.9285714285714288E-2</v>
      </c>
      <c r="E505" s="5">
        <f t="shared" si="8"/>
        <v>1.5322321428571428</v>
      </c>
      <c r="F505" s="5" cm="1">
        <f t="array" ref="F505">_xlfn.IFS(
    AND(C505&gt;C$535,D505&lt;D$535),1,
    AND(C505&gt;C$535,D505&gt;D$535),2,
    AND(C505&lt;C$535,D505&lt;D$535),4,
    AND(C505&lt;C$535,D505&gt;D$535),3,
    TRUE,""
)</f>
        <v>2</v>
      </c>
    </row>
    <row r="506" spans="1:6" x14ac:dyDescent="0.35">
      <c r="A506" s="1" t="s">
        <v>326</v>
      </c>
      <c r="B506" s="2">
        <v>6643</v>
      </c>
      <c r="C506" s="2">
        <v>238883</v>
      </c>
      <c r="D506" s="5">
        <f>+VLOOKUP(A506,Sheet6!A:D,4,0)</f>
        <v>8.6363636363636351E-2</v>
      </c>
      <c r="E506" s="5">
        <f t="shared" si="8"/>
        <v>0.57371363636363626</v>
      </c>
      <c r="F506" s="5" cm="1">
        <f t="array" ref="F506">_xlfn.IFS(
    AND(C506&gt;C$535,D506&lt;D$535),1,
    AND(C506&gt;C$535,D506&gt;D$535),2,
    AND(C506&lt;C$535,D506&lt;D$535),4,
    AND(C506&lt;C$535,D506&gt;D$535),3,
    TRUE,""
)</f>
        <v>2</v>
      </c>
    </row>
    <row r="507" spans="1:6" x14ac:dyDescent="0.35">
      <c r="A507" s="1" t="s">
        <v>324</v>
      </c>
      <c r="B507" s="2">
        <v>42285</v>
      </c>
      <c r="C507" s="2">
        <v>330475</v>
      </c>
      <c r="D507" s="5">
        <f>+VLOOKUP(A507,Sheet6!A:D,4,0)</f>
        <v>8.538163001293661E-2</v>
      </c>
      <c r="E507" s="5">
        <f t="shared" si="8"/>
        <v>3.6103622250970249</v>
      </c>
      <c r="F507" s="5" cm="1">
        <f t="array" ref="F507">_xlfn.IFS(
    AND(C507&gt;C$535,D507&lt;D$535),1,
    AND(C507&gt;C$535,D507&gt;D$535),2,
    AND(C507&lt;C$535,D507&lt;D$535),4,
    AND(C507&lt;C$535,D507&gt;D$535),3,
    TRUE,""
)</f>
        <v>2</v>
      </c>
    </row>
    <row r="508" spans="1:6" x14ac:dyDescent="0.35">
      <c r="A508" s="1" t="s">
        <v>492</v>
      </c>
      <c r="B508" s="2">
        <v>7477</v>
      </c>
      <c r="C508" s="2">
        <v>331532</v>
      </c>
      <c r="D508" s="5">
        <f>+VLOOKUP(A508,Sheet6!A:D,4,0)</f>
        <v>8.0808080808080815E-2</v>
      </c>
      <c r="E508" s="5">
        <f t="shared" si="8"/>
        <v>0.60420202020202018</v>
      </c>
      <c r="F508" s="5" cm="1">
        <f t="array" ref="F508">_xlfn.IFS(
    AND(C508&gt;C$535,D508&lt;D$535),1,
    AND(C508&gt;C$535,D508&gt;D$535),2,
    AND(C508&lt;C$535,D508&lt;D$535),4,
    AND(C508&lt;C$535,D508&gt;D$535),3,
    TRUE,""
)</f>
        <v>2</v>
      </c>
    </row>
    <row r="509" spans="1:6" x14ac:dyDescent="0.35">
      <c r="A509" s="1" t="s">
        <v>426</v>
      </c>
      <c r="B509" s="1">
        <v>26.92</v>
      </c>
      <c r="C509" s="2">
        <v>249107</v>
      </c>
      <c r="D509" s="5">
        <f>+VLOOKUP(A509,Sheet6!A:D,4,0)</f>
        <v>8.0188679245283015E-2</v>
      </c>
      <c r="E509" s="5">
        <f t="shared" si="8"/>
        <v>2.1586792452830189E-3</v>
      </c>
      <c r="F509" s="5" cm="1">
        <f t="array" ref="F509">_xlfn.IFS(
    AND(C509&gt;C$535,D509&lt;D$535),1,
    AND(C509&gt;C$535,D509&gt;D$535),2,
    AND(C509&lt;C$535,D509&lt;D$535),4,
    AND(C509&lt;C$535,D509&gt;D$535),3,
    TRUE,""
)</f>
        <v>2</v>
      </c>
    </row>
    <row r="510" spans="1:6" x14ac:dyDescent="0.35">
      <c r="A510" s="1" t="s">
        <v>528</v>
      </c>
      <c r="B510" s="2">
        <v>6674</v>
      </c>
      <c r="C510" s="1">
        <v>197.63</v>
      </c>
      <c r="D510" s="5">
        <f>+VLOOKUP(A510,Sheet6!A:D,4,0)</f>
        <v>0.08</v>
      </c>
      <c r="E510" s="5">
        <f t="shared" si="8"/>
        <v>0.53391999999999995</v>
      </c>
      <c r="F510" s="5" cm="1">
        <f t="array" ref="F510">_xlfn.IFS(
    AND(C510&gt;C$535,D510&lt;D$535),1,
    AND(C510&gt;C$535,D510&gt;D$535),2,
    AND(C510&lt;C$535,D510&lt;D$535),4,
    AND(C510&lt;C$535,D510&gt;D$535),3,
    TRUE,""
)</f>
        <v>3</v>
      </c>
    </row>
    <row r="511" spans="1:6" x14ac:dyDescent="0.35">
      <c r="A511" s="1" t="s">
        <v>69</v>
      </c>
      <c r="B511" s="2">
        <v>5458</v>
      </c>
      <c r="C511" s="2">
        <v>388234</v>
      </c>
      <c r="D511" s="5">
        <f>+VLOOKUP(A511,Sheet6!A:D,4,0)</f>
        <v>7.6923076923076927E-2</v>
      </c>
      <c r="E511" s="5">
        <f t="shared" si="8"/>
        <v>0.41984615384615387</v>
      </c>
      <c r="F511" s="5" cm="1">
        <f t="array" ref="F511">_xlfn.IFS(
    AND(C511&gt;C$535,D511&lt;D$535),1,
    AND(C511&gt;C$535,D511&gt;D$535),2,
    AND(C511&lt;C$535,D511&lt;D$535),4,
    AND(C511&lt;C$535,D511&gt;D$535),3,
    TRUE,""
)</f>
        <v>2</v>
      </c>
    </row>
    <row r="512" spans="1:6" x14ac:dyDescent="0.35">
      <c r="A512" s="1" t="s">
        <v>516</v>
      </c>
      <c r="B512" s="2">
        <v>7199</v>
      </c>
      <c r="C512" s="2">
        <v>277802</v>
      </c>
      <c r="D512" s="5">
        <f>+VLOOKUP(A512,Sheet6!A:D,4,0)</f>
        <v>7.6086956521739135E-2</v>
      </c>
      <c r="E512" s="5">
        <f t="shared" si="8"/>
        <v>0.54774999999999996</v>
      </c>
      <c r="F512" s="5" cm="1">
        <f t="array" ref="F512">_xlfn.IFS(
    AND(C512&gt;C$535,D512&lt;D$535),1,
    AND(C512&gt;C$535,D512&gt;D$535),2,
    AND(C512&lt;C$535,D512&lt;D$535),4,
    AND(C512&lt;C$535,D512&gt;D$535),3,
    TRUE,""
)</f>
        <v>2</v>
      </c>
    </row>
    <row r="513" spans="1:6" x14ac:dyDescent="0.35">
      <c r="A513" s="1" t="s">
        <v>46</v>
      </c>
      <c r="B513" s="2">
        <v>7169</v>
      </c>
      <c r="C513" s="2">
        <v>304386</v>
      </c>
      <c r="D513" s="5">
        <f>+VLOOKUP(A513,Sheet6!A:D,4,0)</f>
        <v>7.4712643678160925E-2</v>
      </c>
      <c r="E513" s="5">
        <f t="shared" si="8"/>
        <v>0.53561494252873565</v>
      </c>
      <c r="F513" s="5" cm="1">
        <f t="array" ref="F513">_xlfn.IFS(
    AND(C513&gt;C$535,D513&lt;D$535),1,
    AND(C513&gt;C$535,D513&gt;D$535),2,
    AND(C513&lt;C$535,D513&lt;D$535),4,
    AND(C513&lt;C$535,D513&gt;D$535),3,
    TRUE,""
)</f>
        <v>2</v>
      </c>
    </row>
    <row r="514" spans="1:6" x14ac:dyDescent="0.35">
      <c r="A514" s="1" t="s">
        <v>182</v>
      </c>
      <c r="B514" s="2">
        <v>7253</v>
      </c>
      <c r="C514" s="2">
        <v>258916</v>
      </c>
      <c r="D514" s="5">
        <f>+VLOOKUP(A514,Sheet6!A:D,4,0)</f>
        <v>7.407407407407407E-2</v>
      </c>
      <c r="E514" s="5">
        <f t="shared" si="8"/>
        <v>0.53725925925925921</v>
      </c>
      <c r="F514" s="5" cm="1">
        <f t="array" ref="F514">_xlfn.IFS(
    AND(C514&gt;C$535,D514&lt;D$535),1,
    AND(C514&gt;C$535,D514&gt;D$535),2,
    AND(C514&lt;C$535,D514&lt;D$535),4,
    AND(C514&lt;C$535,D514&gt;D$535),3,
    TRUE,""
)</f>
        <v>2</v>
      </c>
    </row>
    <row r="515" spans="1:6" x14ac:dyDescent="0.35">
      <c r="A515" s="1" t="s">
        <v>343</v>
      </c>
      <c r="B515" s="2">
        <v>6619</v>
      </c>
      <c r="C515" s="2">
        <v>265604</v>
      </c>
      <c r="D515" s="5">
        <f>+VLOOKUP(A515,Sheet6!A:D,4,0)</f>
        <v>6.3492063492063489E-2</v>
      </c>
      <c r="E515" s="5">
        <f t="shared" si="8"/>
        <v>0.42025396825396827</v>
      </c>
      <c r="F515" s="5" cm="1">
        <f t="array" ref="F515">_xlfn.IFS(
    AND(C515&gt;C$535,D515&lt;D$535),1,
    AND(C515&gt;C$535,D515&gt;D$535),2,
    AND(C515&lt;C$535,D515&lt;D$535),4,
    AND(C515&lt;C$535,D515&gt;D$535),3,
    TRUE,""
)</f>
        <v>2</v>
      </c>
    </row>
    <row r="516" spans="1:6" x14ac:dyDescent="0.35">
      <c r="A516" s="1" t="s">
        <v>164</v>
      </c>
      <c r="B516" s="2">
        <v>28915</v>
      </c>
      <c r="C516" s="2">
        <v>338507</v>
      </c>
      <c r="D516" s="5">
        <f>+VLOOKUP(A516,Sheet6!A:D,4,0)</f>
        <v>6.2670299727520445E-2</v>
      </c>
      <c r="E516" s="5">
        <f t="shared" si="8"/>
        <v>1.8121117166212537</v>
      </c>
      <c r="F516" s="5" cm="1">
        <f t="array" ref="F516">_xlfn.IFS(
    AND(C516&gt;C$535,D516&lt;D$535),1,
    AND(C516&gt;C$535,D516&gt;D$535),2,
    AND(C516&lt;C$535,D516&lt;D$535),4,
    AND(C516&lt;C$535,D516&gt;D$535),3,
    TRUE,""
)</f>
        <v>2</v>
      </c>
    </row>
    <row r="517" spans="1:6" x14ac:dyDescent="0.35">
      <c r="A517" s="1" t="s">
        <v>232</v>
      </c>
      <c r="B517" s="1">
        <v>7.77</v>
      </c>
      <c r="C517" s="2">
        <v>427527</v>
      </c>
      <c r="D517" s="5">
        <f>+VLOOKUP(A517,Sheet6!A:D,4,0)</f>
        <v>6.0240963855421693E-2</v>
      </c>
      <c r="E517" s="5">
        <f t="shared" si="8"/>
        <v>4.6807228915662653E-4</v>
      </c>
      <c r="F517" s="5" cm="1">
        <f t="array" ref="F517">_xlfn.IFS(
    AND(C517&gt;C$535,D517&lt;D$535),1,
    AND(C517&gt;C$535,D517&gt;D$535),2,
    AND(C517&lt;C$535,D517&lt;D$535),4,
    AND(C517&lt;C$535,D517&gt;D$535),3,
    TRUE,""
)</f>
        <v>2</v>
      </c>
    </row>
    <row r="518" spans="1:6" x14ac:dyDescent="0.35">
      <c r="A518" s="1" t="s">
        <v>243</v>
      </c>
      <c r="B518" s="2">
        <v>7146</v>
      </c>
      <c r="C518" s="1">
        <v>291.5</v>
      </c>
      <c r="D518" s="5">
        <f>+VLOOKUP(A518,Sheet6!A:D,4,0)</f>
        <v>0.06</v>
      </c>
      <c r="E518" s="5">
        <f t="shared" si="8"/>
        <v>0.42875999999999997</v>
      </c>
      <c r="F518" s="5" cm="1">
        <f t="array" ref="F518">_xlfn.IFS(
    AND(C518&gt;C$535,D518&lt;D$535),1,
    AND(C518&gt;C$535,D518&gt;D$535),2,
    AND(C518&lt;C$535,D518&lt;D$535),4,
    AND(C518&lt;C$535,D518&gt;D$535),3,
    TRUE,""
)</f>
        <v>3</v>
      </c>
    </row>
    <row r="519" spans="1:6" x14ac:dyDescent="0.35">
      <c r="A519" s="1" t="s">
        <v>130</v>
      </c>
      <c r="B519" s="2">
        <v>20664</v>
      </c>
      <c r="C519" s="2">
        <v>397944</v>
      </c>
      <c r="D519" s="5">
        <f>+VLOOKUP(A519,Sheet6!A:D,4,0)</f>
        <v>5.080213903743315E-2</v>
      </c>
      <c r="E519" s="5">
        <f t="shared" si="8"/>
        <v>1.0497754010695186</v>
      </c>
      <c r="F519" s="5" cm="1">
        <f t="array" ref="F519">_xlfn.IFS(
    AND(C519&gt;C$535,D519&lt;D$535),1,
    AND(C519&gt;C$535,D519&gt;D$535),2,
    AND(C519&lt;C$535,D519&lt;D$535),4,
    AND(C519&lt;C$535,D519&gt;D$535),3,
    TRUE,""
)</f>
        <v>2</v>
      </c>
    </row>
    <row r="520" spans="1:6" x14ac:dyDescent="0.35">
      <c r="A520" s="1" t="s">
        <v>543</v>
      </c>
      <c r="B520" s="2">
        <v>28552</v>
      </c>
      <c r="C520" s="2">
        <v>356334</v>
      </c>
      <c r="D520" s="5">
        <f>+VLOOKUP(A520,Sheet6!A:D,4,0)</f>
        <v>4.8951048951048959E-2</v>
      </c>
      <c r="E520" s="5">
        <f t="shared" si="8"/>
        <v>1.3976503496503498</v>
      </c>
      <c r="F520" s="5" cm="1">
        <f t="array" ref="F520">_xlfn.IFS(
    AND(C520&gt;C$535,D520&lt;D$535),1,
    AND(C520&gt;C$535,D520&gt;D$535),2,
    AND(C520&lt;C$535,D520&lt;D$535),4,
    AND(C520&lt;C$535,D520&gt;D$535),3,
    TRUE,""
)</f>
        <v>2</v>
      </c>
    </row>
    <row r="521" spans="1:6" x14ac:dyDescent="0.35">
      <c r="A521" s="1" t="s">
        <v>40</v>
      </c>
      <c r="B521" s="2">
        <v>6931</v>
      </c>
      <c r="C521" s="2">
        <v>255519</v>
      </c>
      <c r="D521" s="5">
        <f>+VLOOKUP(A521,Sheet6!A:D,4,0)</f>
        <v>4.3137254901960791E-2</v>
      </c>
      <c r="E521" s="5">
        <f t="shared" si="8"/>
        <v>0.29898431372549028</v>
      </c>
      <c r="F521" s="5" cm="1">
        <f t="array" ref="F521">_xlfn.IFS(
    AND(C521&gt;C$535,D521&lt;D$535),1,
    AND(C521&gt;C$535,D521&gt;D$535),2,
    AND(C521&lt;C$535,D521&lt;D$535),4,
    AND(C521&lt;C$535,D521&gt;D$535),3,
    TRUE,""
)</f>
        <v>2</v>
      </c>
    </row>
    <row r="522" spans="1:6" x14ac:dyDescent="0.35">
      <c r="A522" s="1" t="s">
        <v>241</v>
      </c>
      <c r="B522" s="2">
        <v>5355</v>
      </c>
      <c r="C522" s="2">
        <v>201129</v>
      </c>
      <c r="D522" s="5">
        <f>+VLOOKUP(A522,Sheet6!A:D,4,0)</f>
        <v>3.7499999999999999E-2</v>
      </c>
      <c r="E522" s="5">
        <f t="shared" si="8"/>
        <v>0.2008125</v>
      </c>
      <c r="F522" s="5" cm="1">
        <f t="array" ref="F522">_xlfn.IFS(
    AND(C522&gt;C$535,D522&lt;D$535),1,
    AND(C522&gt;C$535,D522&gt;D$535),2,
    AND(C522&lt;C$535,D522&lt;D$535),4,
    AND(C522&lt;C$535,D522&gt;D$535),3,
    TRUE,""
)</f>
        <v>3</v>
      </c>
    </row>
    <row r="523" spans="1:6" x14ac:dyDescent="0.35">
      <c r="A523" s="1" t="s">
        <v>434</v>
      </c>
      <c r="B523" s="1">
        <v>10.15</v>
      </c>
      <c r="C523" s="2">
        <v>212715</v>
      </c>
      <c r="D523" s="5">
        <f>+VLOOKUP(A523,Sheet6!A:D,4,0)</f>
        <v>1.6216216216216214E-2</v>
      </c>
      <c r="E523" s="5">
        <f t="shared" si="8"/>
        <v>1.6459459459459457E-4</v>
      </c>
      <c r="F523" s="5" cm="1">
        <f t="array" ref="F523">_xlfn.IFS(
    AND(C523&gt;C$535,D523&lt;D$535),1,
    AND(C523&gt;C$535,D523&gt;D$535),2,
    AND(C523&lt;C$535,D523&lt;D$535),4,
    AND(C523&lt;C$535,D523&gt;D$535),3,
    TRUE,""
)</f>
        <v>2</v>
      </c>
    </row>
    <row r="524" spans="1:6" x14ac:dyDescent="0.35">
      <c r="A524" s="1" t="s">
        <v>137</v>
      </c>
      <c r="B524" s="2">
        <v>5988</v>
      </c>
      <c r="C524" s="2">
        <v>438184</v>
      </c>
      <c r="D524" s="5">
        <f>+VLOOKUP(A524,Sheet6!A:D,4,0)</f>
        <v>0</v>
      </c>
      <c r="E524" s="5">
        <f t="shared" si="8"/>
        <v>0</v>
      </c>
      <c r="F524" s="5" t="str" cm="1">
        <f t="array" ref="F524">_xlfn.IFS(
    AND(C524&gt;C$535,D524&lt;D$535),1,
    AND(C524&gt;C$535,D524&gt;D$535),2,
    AND(C524&lt;C$535,D524&lt;D$535),4,
    AND(C524&lt;C$535,D524&gt;D$535),3,
    TRUE,""
)</f>
        <v/>
      </c>
    </row>
    <row r="525" spans="1:6" x14ac:dyDescent="0.35">
      <c r="A525" s="1" t="s">
        <v>136</v>
      </c>
      <c r="B525" s="2">
        <v>7873</v>
      </c>
      <c r="C525" s="1">
        <v>347.26</v>
      </c>
      <c r="D525" s="5">
        <f>+VLOOKUP(A525,Sheet6!A:D,4,0)</f>
        <v>0</v>
      </c>
      <c r="E525" s="5">
        <f t="shared" si="8"/>
        <v>0</v>
      </c>
      <c r="F525" s="5" t="str" cm="1">
        <f t="array" ref="F525">_xlfn.IFS(
    AND(C525&gt;C$535,D525&lt;D$535),1,
    AND(C525&gt;C$535,D525&gt;D$535),2,
    AND(C525&lt;C$535,D525&lt;D$535),4,
    AND(C525&lt;C$535,D525&gt;D$535),3,
    TRUE,""
)</f>
        <v/>
      </c>
    </row>
    <row r="526" spans="1:6" x14ac:dyDescent="0.35">
      <c r="A526" s="1" t="s">
        <v>188</v>
      </c>
      <c r="B526" s="2">
        <v>4962</v>
      </c>
      <c r="C526" s="2">
        <v>264212</v>
      </c>
      <c r="D526" s="5">
        <f>+VLOOKUP(A526,Sheet6!A:D,4,0)</f>
        <v>0</v>
      </c>
      <c r="E526" s="5">
        <f t="shared" si="8"/>
        <v>0</v>
      </c>
      <c r="F526" s="5" t="str" cm="1">
        <f t="array" ref="F526">_xlfn.IFS(
    AND(C526&gt;C$535,D526&lt;D$535),1,
    AND(C526&gt;C$535,D526&gt;D$535),2,
    AND(C526&lt;C$535,D526&lt;D$535),4,
    AND(C526&lt;C$535,D526&gt;D$535),3,
    TRUE,""
)</f>
        <v/>
      </c>
    </row>
    <row r="527" spans="1:6" x14ac:dyDescent="0.35">
      <c r="A527" s="1" t="s">
        <v>352</v>
      </c>
      <c r="B527" s="1">
        <v>17.11</v>
      </c>
      <c r="C527" s="2">
        <v>282825</v>
      </c>
      <c r="D527" s="5">
        <f>+VLOOKUP(A527,Sheet6!A:D,4,0)</f>
        <v>0</v>
      </c>
      <c r="E527" s="5">
        <f t="shared" si="8"/>
        <v>0</v>
      </c>
      <c r="F527" s="5" t="str" cm="1">
        <f t="array" ref="F527">_xlfn.IFS(
    AND(C527&gt;C$535,D527&lt;D$535),1,
    AND(C527&gt;C$535,D527&gt;D$535),2,
    AND(C527&lt;C$535,D527&lt;D$535),4,
    AND(C527&lt;C$535,D527&gt;D$535),3,
    TRUE,""
)</f>
        <v/>
      </c>
    </row>
    <row r="528" spans="1:6" x14ac:dyDescent="0.35">
      <c r="A528" s="1" t="s">
        <v>52</v>
      </c>
      <c r="B528" s="2">
        <v>16033</v>
      </c>
      <c r="C528" s="2">
        <v>220551</v>
      </c>
      <c r="D528" s="5">
        <f>+VLOOKUP(A528,Sheet6!A:D,4,0)</f>
        <v>0</v>
      </c>
      <c r="E528" s="5">
        <f t="shared" si="8"/>
        <v>0</v>
      </c>
      <c r="F528" s="5" t="str" cm="1">
        <f t="array" ref="F528">_xlfn.IFS(
    AND(C528&gt;C$535,D528&lt;D$535),1,
    AND(C528&gt;C$535,D528&gt;D$535),2,
    AND(C528&lt;C$535,D528&lt;D$535),4,
    AND(C528&lt;C$535,D528&gt;D$535),3,
    TRUE,""
)</f>
        <v/>
      </c>
    </row>
    <row r="529" spans="1:7" x14ac:dyDescent="0.35">
      <c r="A529" s="1" t="s">
        <v>391</v>
      </c>
      <c r="B529" s="2">
        <v>3693</v>
      </c>
      <c r="C529" s="2">
        <v>222576</v>
      </c>
      <c r="D529" s="5">
        <f>+VLOOKUP(A529,Sheet6!A:D,4,0)</f>
        <v>0</v>
      </c>
      <c r="E529" s="5">
        <f t="shared" si="8"/>
        <v>0</v>
      </c>
      <c r="F529" s="5" t="str" cm="1">
        <f t="array" ref="F529">_xlfn.IFS(
    AND(C529&gt;C$535,D529&lt;D$535),1,
    AND(C529&gt;C$535,D529&gt;D$535),2,
    AND(C529&lt;C$535,D529&lt;D$535),4,
    AND(C529&lt;C$535,D529&gt;D$535),3,
    TRUE,""
)</f>
        <v/>
      </c>
    </row>
    <row r="530" spans="1:7" x14ac:dyDescent="0.35">
      <c r="A530" s="1" t="s">
        <v>49</v>
      </c>
      <c r="B530" s="2">
        <v>6121</v>
      </c>
      <c r="C530" s="2">
        <v>367582</v>
      </c>
      <c r="D530" s="5">
        <f>+VLOOKUP(A530,Sheet6!A:D,4,0)</f>
        <v>0</v>
      </c>
      <c r="E530" s="5">
        <f t="shared" si="8"/>
        <v>0</v>
      </c>
      <c r="F530" s="5" t="str" cm="1">
        <f t="array" ref="F530">_xlfn.IFS(
    AND(C530&gt;C$535,D530&lt;D$535),1,
    AND(C530&gt;C$535,D530&gt;D$535),2,
    AND(C530&lt;C$535,D530&lt;D$535),4,
    AND(C530&lt;C$535,D530&gt;D$535),3,
    TRUE,""
)</f>
        <v/>
      </c>
    </row>
    <row r="531" spans="1:7" x14ac:dyDescent="0.35">
      <c r="A531" s="1" t="s">
        <v>420</v>
      </c>
      <c r="B531" s="2">
        <v>2742</v>
      </c>
      <c r="C531" s="2">
        <v>121073</v>
      </c>
      <c r="D531" s="5">
        <f>+VLOOKUP(A531,Sheet6!A:D,4,0)</f>
        <v>0</v>
      </c>
      <c r="E531" s="5">
        <f t="shared" si="8"/>
        <v>0</v>
      </c>
      <c r="F531" s="5" t="str" cm="1">
        <f t="array" ref="F531">_xlfn.IFS(
    AND(C531&gt;C$535,D531&lt;D$535),1,
    AND(C531&gt;C$535,D531&gt;D$535),2,
    AND(C531&lt;C$535,D531&lt;D$535),4,
    AND(C531&lt;C$535,D531&gt;D$535),3,
    TRUE,""
)</f>
        <v/>
      </c>
    </row>
    <row r="532" spans="1:7" x14ac:dyDescent="0.35">
      <c r="A532" s="1" t="s">
        <v>439</v>
      </c>
      <c r="B532" s="2">
        <v>2634</v>
      </c>
      <c r="C532" s="2">
        <v>156773</v>
      </c>
      <c r="D532" s="5">
        <f>+VLOOKUP(A532,Sheet6!A:D,4,0)</f>
        <v>0</v>
      </c>
      <c r="E532" s="5">
        <f t="shared" si="8"/>
        <v>0</v>
      </c>
      <c r="F532" s="5" t="str" cm="1">
        <f t="array" ref="F532">_xlfn.IFS(
    AND(C532&gt;C$535,D532&lt;D$535),1,
    AND(C532&gt;C$535,D532&gt;D$535),2,
    AND(C532&lt;C$535,D532&lt;D$535),4,
    AND(C532&lt;C$535,D532&gt;D$535),3,
    TRUE,""
)</f>
        <v/>
      </c>
    </row>
    <row r="533" spans="1:7" x14ac:dyDescent="0.35">
      <c r="A533" s="1" t="s">
        <v>445</v>
      </c>
      <c r="B533" s="2">
        <v>20687</v>
      </c>
      <c r="C533" s="2">
        <v>325568</v>
      </c>
      <c r="D533" s="5">
        <f>+VLOOKUP(A533,Sheet6!A:D,4,0)</f>
        <v>0</v>
      </c>
      <c r="E533" s="5">
        <f t="shared" si="8"/>
        <v>0</v>
      </c>
      <c r="F533" s="5" t="str" cm="1">
        <f t="array" ref="F533">_xlfn.IFS(
    AND(C533&gt;C$535,D533&lt;D$535),1,
    AND(C533&gt;C$535,D533&gt;D$535),2,
    AND(C533&lt;C$535,D533&lt;D$535),4,
    AND(C533&lt;C$535,D533&gt;D$535),3,
    TRUE,""
)</f>
        <v/>
      </c>
    </row>
    <row r="534" spans="1:7" x14ac:dyDescent="0.35">
      <c r="A534" s="1" t="s">
        <v>455</v>
      </c>
      <c r="B534" s="2">
        <v>2616</v>
      </c>
      <c r="C534" s="1">
        <v>338.29</v>
      </c>
      <c r="D534" s="5">
        <f>+VLOOKUP(A534,Sheet6!A:D,4,0)</f>
        <v>0</v>
      </c>
      <c r="E534" s="5">
        <f t="shared" si="8"/>
        <v>0</v>
      </c>
      <c r="F534" s="5" t="str" cm="1">
        <f t="array" ref="F534">_xlfn.IFS(
    AND(C534&gt;C$535,D534&lt;D$535),1,
    AND(C534&gt;C$535,D534&gt;D$535),2,
    AND(C534&lt;C$535,D534&lt;D$535),4,
    AND(C534&lt;C$535,D534&gt;D$535),3,
    TRUE,""
)</f>
        <v/>
      </c>
    </row>
    <row r="535" spans="1:7" x14ac:dyDescent="0.35">
      <c r="A535" s="1" t="s">
        <v>459</v>
      </c>
      <c r="B535" s="2">
        <v>2462</v>
      </c>
      <c r="C535" s="2">
        <v>211245</v>
      </c>
      <c r="D535" s="5">
        <f>+VLOOKUP(A535,Sheet6!A:D,4,0)</f>
        <v>0</v>
      </c>
      <c r="E535" s="5">
        <f t="shared" si="8"/>
        <v>0</v>
      </c>
      <c r="F535" t="str" cm="1">
        <f t="array" ref="F535">_xlfn.IFS(
    AND(C535&gt;C$535,D535&lt;D$535),1,
    AND(C535&gt;C$535,D535&gt;D$535),2,
    AND(C535&lt;C$535,D535&lt;D$535),4,
    AND(C535&lt;C$535,D535&gt;D$535),3,
    TRUE,""
)</f>
        <v/>
      </c>
    </row>
    <row r="536" spans="1:7" ht="15" thickBot="1" x14ac:dyDescent="0.4">
      <c r="A536" s="1" t="s">
        <v>15</v>
      </c>
      <c r="B536" s="2">
        <v>23286</v>
      </c>
      <c r="C536" s="2">
        <v>222536</v>
      </c>
      <c r="D536">
        <f>+VLOOKUP(A536,Sheet6!A:D,4,0)</f>
        <v>0</v>
      </c>
      <c r="E536">
        <f t="shared" si="8"/>
        <v>0</v>
      </c>
      <c r="F536" t="str" cm="1">
        <f t="array" ref="F536">_xlfn.IFS(
    AND(C536&gt;C$535,D536&lt;D$535),1,
    AND(C536&gt;C$535,D536&gt;D$535),2,
    AND(C536&lt;C$535,D536&lt;D$535),4,
    AND(C536&lt;C$535,D536&gt;D$535),3,
    TRUE,""
)</f>
        <v/>
      </c>
      <c r="G536" t="s">
        <v>582</v>
      </c>
    </row>
    <row r="537" spans="1:7" x14ac:dyDescent="0.35">
      <c r="A537" s="1" t="s">
        <v>490</v>
      </c>
      <c r="B537" s="2">
        <v>1288</v>
      </c>
      <c r="C537" s="2">
        <v>317579</v>
      </c>
      <c r="D537" s="21">
        <f>+VLOOKUP(A537,Sheet6!A:D,4,0)</f>
        <v>0</v>
      </c>
      <c r="E537" s="22">
        <f t="shared" si="8"/>
        <v>0</v>
      </c>
      <c r="F537" t="str" cm="1">
        <f t="array" ref="F537">_xlfn.IFS(
    AND(C537&gt;C$535,D537&lt;D$535),1,
    AND(C537&gt;C$535,D537&gt;D$535),2,
    AND(C537&lt;C$535,D537&lt;D$535),4,
    AND(C537&lt;C$535,D537&gt;D$535),3,
    TRUE,""
)</f>
        <v/>
      </c>
      <c r="G537">
        <f ca="1">SUMIFS(E$2:E$534,F$2:F$534,1)</f>
        <v>1087.7095903588413</v>
      </c>
    </row>
    <row r="538" spans="1:7" x14ac:dyDescent="0.35">
      <c r="A538" s="1" t="s">
        <v>508</v>
      </c>
      <c r="B538" s="2">
        <v>2531</v>
      </c>
      <c r="C538" s="2">
        <v>305855</v>
      </c>
      <c r="D538" s="23">
        <f>+VLOOKUP(A538,Sheet6!A:D,4,0)</f>
        <v>0</v>
      </c>
      <c r="E538" s="24">
        <f t="shared" si="8"/>
        <v>0</v>
      </c>
      <c r="F538" s="5" t="str" cm="1">
        <f t="array" ref="F538">_xlfn.IFS(
    AND(C538&gt;C$535,D538&lt;D$535),1,
    AND(C538&gt;C$535,D538&gt;D$535),2,
    AND(C538&lt;C$535,D538&lt;D$535),4,
    AND(C538&lt;C$535,D538&gt;D$535),3,
    TRUE,""
)</f>
        <v/>
      </c>
      <c r="G538" s="5">
        <f ca="1">SUMIFS(E$2:E$534,F$2:F$534,2)</f>
        <v>960.44149010754165</v>
      </c>
    </row>
    <row r="539" spans="1:7" x14ac:dyDescent="0.35">
      <c r="A539" s="1" t="s">
        <v>544</v>
      </c>
      <c r="B539" s="2">
        <v>5146</v>
      </c>
      <c r="C539" s="2">
        <v>192786</v>
      </c>
      <c r="D539" s="23">
        <f>+VLOOKUP(A539,Sheet6!A:D,4,0)</f>
        <v>0</v>
      </c>
      <c r="E539" s="24">
        <f t="shared" si="8"/>
        <v>0</v>
      </c>
      <c r="F539" s="5" t="str" cm="1">
        <f t="array" ref="F539">_xlfn.IFS(
    AND(C539&gt;C$535,D539&lt;D$535),1,
    AND(C539&gt;C$535,D539&gt;D$535),2,
    AND(C539&lt;C$535,D539&lt;D$535),4,
    AND(C539&lt;C$535,D539&gt;D$535),3,
    TRUE,""
)</f>
        <v/>
      </c>
      <c r="G539" s="5">
        <f ca="1">SUMIFS(E$2:E$534,F$2:F$534,3)</f>
        <v>603.51506839362457</v>
      </c>
    </row>
    <row r="540" spans="1:7" x14ac:dyDescent="0.35">
      <c r="A540" s="5"/>
      <c r="D540" s="23"/>
      <c r="E540" s="24"/>
      <c r="F540" s="5" t="s">
        <v>581</v>
      </c>
      <c r="G540" s="5">
        <f ca="1">SUMIFS(E$2:E$534,F$2:F$534,4)</f>
        <v>447.54120276107409</v>
      </c>
    </row>
    <row r="541" spans="1:7" ht="15" thickBot="1" x14ac:dyDescent="0.4">
      <c r="A541" s="5"/>
      <c r="D541" s="28"/>
      <c r="E541" s="25"/>
      <c r="F541">
        <f ca="1">COUNTIF(F$2:F$534,3)</f>
        <v>113</v>
      </c>
    </row>
    <row r="542" spans="1:7" x14ac:dyDescent="0.35">
      <c r="A542" s="5"/>
    </row>
    <row r="543" spans="1:7" x14ac:dyDescent="0.35">
      <c r="A543" s="5"/>
    </row>
    <row r="544" spans="1:7" x14ac:dyDescent="0.35">
      <c r="A544" s="5"/>
    </row>
    <row r="545" spans="1:1" x14ac:dyDescent="0.35">
      <c r="A545" s="5"/>
    </row>
    <row r="546" spans="1:1" x14ac:dyDescent="0.35">
      <c r="A546" s="5"/>
    </row>
    <row r="547" spans="1:1" x14ac:dyDescent="0.35">
      <c r="A547" s="5"/>
    </row>
    <row r="548" spans="1:1" x14ac:dyDescent="0.35">
      <c r="A548" s="5"/>
    </row>
    <row r="549" spans="1:1" x14ac:dyDescent="0.35">
      <c r="A549" s="5"/>
    </row>
    <row r="550" spans="1:1" x14ac:dyDescent="0.35">
      <c r="A550" s="5"/>
    </row>
    <row r="551" spans="1:1" x14ac:dyDescent="0.35">
      <c r="A551" s="5"/>
    </row>
    <row r="552" spans="1:1" x14ac:dyDescent="0.35">
      <c r="A552" s="5"/>
    </row>
    <row r="553" spans="1:1" x14ac:dyDescent="0.35">
      <c r="A553" s="5"/>
    </row>
    <row r="554" spans="1:1" x14ac:dyDescent="0.35">
      <c r="A554" s="5"/>
    </row>
    <row r="555" spans="1:1" x14ac:dyDescent="0.35">
      <c r="A555" s="5"/>
    </row>
    <row r="556" spans="1:1" x14ac:dyDescent="0.35">
      <c r="A556" s="5"/>
    </row>
    <row r="557" spans="1:1" x14ac:dyDescent="0.35">
      <c r="A557" s="5"/>
    </row>
    <row r="558" spans="1:1" x14ac:dyDescent="0.35">
      <c r="A558" s="5"/>
    </row>
    <row r="559" spans="1:1" x14ac:dyDescent="0.35">
      <c r="A559" s="5"/>
    </row>
    <row r="560" spans="1:1" x14ac:dyDescent="0.35">
      <c r="A560" s="5"/>
    </row>
    <row r="561" spans="1:1" x14ac:dyDescent="0.35">
      <c r="A561" s="5"/>
    </row>
    <row r="562" spans="1:1" x14ac:dyDescent="0.35">
      <c r="A562" s="5"/>
    </row>
    <row r="563" spans="1:1" x14ac:dyDescent="0.35">
      <c r="A563" s="5"/>
    </row>
    <row r="564" spans="1:1" x14ac:dyDescent="0.35">
      <c r="A564" s="5"/>
    </row>
    <row r="565" spans="1:1" x14ac:dyDescent="0.35">
      <c r="A565" s="5"/>
    </row>
    <row r="566" spans="1:1" x14ac:dyDescent="0.35">
      <c r="A566" s="5"/>
    </row>
    <row r="567" spans="1:1" x14ac:dyDescent="0.35">
      <c r="A567" s="5"/>
    </row>
    <row r="568" spans="1:1" x14ac:dyDescent="0.35">
      <c r="A568" s="5"/>
    </row>
    <row r="569" spans="1:1" x14ac:dyDescent="0.35">
      <c r="A569" s="5"/>
    </row>
    <row r="570" spans="1:1" x14ac:dyDescent="0.35">
      <c r="A570" s="5"/>
    </row>
    <row r="571" spans="1:1" x14ac:dyDescent="0.35">
      <c r="A571" s="5"/>
    </row>
    <row r="572" spans="1:1" x14ac:dyDescent="0.35">
      <c r="A572" s="5"/>
    </row>
    <row r="573" spans="1:1" x14ac:dyDescent="0.35">
      <c r="A573" s="5"/>
    </row>
    <row r="574" spans="1:1" x14ac:dyDescent="0.35">
      <c r="A574" s="5"/>
    </row>
    <row r="575" spans="1:1" x14ac:dyDescent="0.35">
      <c r="A575" s="5"/>
    </row>
    <row r="576" spans="1:1" x14ac:dyDescent="0.35">
      <c r="A576" s="5"/>
    </row>
    <row r="577" spans="1:1" x14ac:dyDescent="0.35">
      <c r="A577" s="5"/>
    </row>
    <row r="578" spans="1:1" x14ac:dyDescent="0.35">
      <c r="A578" s="5"/>
    </row>
    <row r="579" spans="1:1" x14ac:dyDescent="0.35">
      <c r="A579" s="5"/>
    </row>
    <row r="580" spans="1:1" x14ac:dyDescent="0.35">
      <c r="A580" s="5"/>
    </row>
    <row r="581" spans="1:1" x14ac:dyDescent="0.35">
      <c r="A581" s="5"/>
    </row>
    <row r="582" spans="1:1" x14ac:dyDescent="0.35">
      <c r="A582" s="5"/>
    </row>
    <row r="583" spans="1:1" x14ac:dyDescent="0.35">
      <c r="A583" s="5"/>
    </row>
    <row r="584" spans="1:1" x14ac:dyDescent="0.35">
      <c r="A584" s="5"/>
    </row>
    <row r="585" spans="1:1" x14ac:dyDescent="0.35">
      <c r="A585" s="5"/>
    </row>
    <row r="586" spans="1:1" x14ac:dyDescent="0.35">
      <c r="A586" s="5"/>
    </row>
    <row r="587" spans="1:1" x14ac:dyDescent="0.35">
      <c r="A587" s="5"/>
    </row>
    <row r="588" spans="1:1" x14ac:dyDescent="0.35">
      <c r="A588" s="5"/>
    </row>
    <row r="589" spans="1:1" x14ac:dyDescent="0.35">
      <c r="A589" s="5"/>
    </row>
    <row r="590" spans="1:1" x14ac:dyDescent="0.35">
      <c r="A590" s="5"/>
    </row>
    <row r="591" spans="1:1" x14ac:dyDescent="0.35">
      <c r="A591" s="5"/>
    </row>
    <row r="592" spans="1:1" x14ac:dyDescent="0.35">
      <c r="A592" s="5"/>
    </row>
    <row r="593" spans="1:1" x14ac:dyDescent="0.35">
      <c r="A593" s="5"/>
    </row>
    <row r="594" spans="1:1" x14ac:dyDescent="0.35">
      <c r="A594" s="5"/>
    </row>
    <row r="595" spans="1:1" x14ac:dyDescent="0.35">
      <c r="A595" s="5"/>
    </row>
    <row r="596" spans="1:1" x14ac:dyDescent="0.35">
      <c r="A596" s="5"/>
    </row>
    <row r="597" spans="1:1" x14ac:dyDescent="0.35">
      <c r="A597" s="5"/>
    </row>
    <row r="598" spans="1:1" x14ac:dyDescent="0.35">
      <c r="A598" s="5"/>
    </row>
    <row r="599" spans="1:1" x14ac:dyDescent="0.35">
      <c r="A599" s="5"/>
    </row>
    <row r="600" spans="1:1" x14ac:dyDescent="0.35">
      <c r="A600" s="5"/>
    </row>
    <row r="601" spans="1:1" x14ac:dyDescent="0.35">
      <c r="A601" s="5"/>
    </row>
    <row r="602" spans="1:1" x14ac:dyDescent="0.35">
      <c r="A602" s="5"/>
    </row>
    <row r="603" spans="1:1" x14ac:dyDescent="0.35">
      <c r="A603" s="5"/>
    </row>
    <row r="604" spans="1:1" x14ac:dyDescent="0.35">
      <c r="A604" s="5"/>
    </row>
    <row r="605" spans="1:1" x14ac:dyDescent="0.35">
      <c r="A605" s="5"/>
    </row>
    <row r="606" spans="1:1" x14ac:dyDescent="0.35">
      <c r="A606" s="5"/>
    </row>
    <row r="607" spans="1:1" x14ac:dyDescent="0.35">
      <c r="A607" s="5"/>
    </row>
    <row r="608" spans="1:1" x14ac:dyDescent="0.35">
      <c r="A608" s="5"/>
    </row>
    <row r="609" spans="1:1" x14ac:dyDescent="0.35">
      <c r="A609" s="5"/>
    </row>
    <row r="610" spans="1:1" x14ac:dyDescent="0.35">
      <c r="A610" s="5"/>
    </row>
    <row r="611" spans="1:1" x14ac:dyDescent="0.35">
      <c r="A611" s="5"/>
    </row>
    <row r="612" spans="1:1" x14ac:dyDescent="0.35">
      <c r="A612" s="5"/>
    </row>
    <row r="613" spans="1:1" x14ac:dyDescent="0.35">
      <c r="A613" s="5"/>
    </row>
    <row r="614" spans="1:1" x14ac:dyDescent="0.35">
      <c r="A614" s="5"/>
    </row>
    <row r="615" spans="1:1" x14ac:dyDescent="0.35">
      <c r="A615" s="5"/>
    </row>
    <row r="616" spans="1:1" x14ac:dyDescent="0.35">
      <c r="A616" s="5"/>
    </row>
    <row r="617" spans="1:1" x14ac:dyDescent="0.35">
      <c r="A617" s="5"/>
    </row>
    <row r="618" spans="1:1" x14ac:dyDescent="0.35">
      <c r="A618" s="5"/>
    </row>
    <row r="619" spans="1:1" x14ac:dyDescent="0.35">
      <c r="A619" s="5"/>
    </row>
    <row r="620" spans="1:1" x14ac:dyDescent="0.35">
      <c r="A620" s="5"/>
    </row>
    <row r="621" spans="1:1" x14ac:dyDescent="0.35">
      <c r="A621" s="5"/>
    </row>
    <row r="622" spans="1:1" x14ac:dyDescent="0.35">
      <c r="A622" s="5"/>
    </row>
    <row r="623" spans="1:1" x14ac:dyDescent="0.35">
      <c r="A623" s="5"/>
    </row>
    <row r="624" spans="1:1" x14ac:dyDescent="0.35">
      <c r="A624" s="5"/>
    </row>
    <row r="625" spans="1:1" x14ac:dyDescent="0.35">
      <c r="A625" s="5"/>
    </row>
    <row r="626" spans="1:1" x14ac:dyDescent="0.35">
      <c r="A626" s="5"/>
    </row>
    <row r="627" spans="1:1" x14ac:dyDescent="0.35">
      <c r="A627" s="5"/>
    </row>
    <row r="628" spans="1:1" x14ac:dyDescent="0.35">
      <c r="A628" s="5"/>
    </row>
    <row r="629" spans="1:1" x14ac:dyDescent="0.35">
      <c r="A629" s="5"/>
    </row>
    <row r="630" spans="1:1" x14ac:dyDescent="0.35">
      <c r="A630" s="5"/>
    </row>
    <row r="631" spans="1:1" x14ac:dyDescent="0.35">
      <c r="A631" s="5"/>
    </row>
    <row r="632" spans="1:1" x14ac:dyDescent="0.35">
      <c r="A632" s="5"/>
    </row>
    <row r="633" spans="1:1" x14ac:dyDescent="0.35">
      <c r="A633" s="5"/>
    </row>
    <row r="634" spans="1:1" x14ac:dyDescent="0.35">
      <c r="A634" s="5"/>
    </row>
    <row r="635" spans="1:1" x14ac:dyDescent="0.35">
      <c r="A635" s="5"/>
    </row>
    <row r="636" spans="1:1" x14ac:dyDescent="0.35">
      <c r="A636" s="5"/>
    </row>
    <row r="637" spans="1:1" x14ac:dyDescent="0.35">
      <c r="A637" s="5"/>
    </row>
    <row r="638" spans="1:1" x14ac:dyDescent="0.35">
      <c r="A638" s="5"/>
    </row>
    <row r="639" spans="1:1" x14ac:dyDescent="0.35">
      <c r="A639" s="5"/>
    </row>
    <row r="640" spans="1:1" x14ac:dyDescent="0.35">
      <c r="A640" s="5"/>
    </row>
    <row r="641" spans="1:1" x14ac:dyDescent="0.35">
      <c r="A641" s="5"/>
    </row>
    <row r="642" spans="1:1" x14ac:dyDescent="0.35">
      <c r="A642" s="5"/>
    </row>
    <row r="643" spans="1:1" x14ac:dyDescent="0.35">
      <c r="A643" s="5"/>
    </row>
    <row r="644" spans="1:1" x14ac:dyDescent="0.35">
      <c r="A644" s="5"/>
    </row>
    <row r="645" spans="1:1" x14ac:dyDescent="0.35">
      <c r="A645" s="5"/>
    </row>
    <row r="646" spans="1:1" x14ac:dyDescent="0.35">
      <c r="A646" s="5"/>
    </row>
    <row r="647" spans="1:1" x14ac:dyDescent="0.35">
      <c r="A647" s="5"/>
    </row>
    <row r="648" spans="1:1" x14ac:dyDescent="0.35">
      <c r="A648" s="5"/>
    </row>
    <row r="649" spans="1:1" x14ac:dyDescent="0.35">
      <c r="A649" s="5"/>
    </row>
    <row r="650" spans="1:1" x14ac:dyDescent="0.35">
      <c r="A650" s="5"/>
    </row>
    <row r="651" spans="1:1" x14ac:dyDescent="0.35">
      <c r="A651" s="5"/>
    </row>
    <row r="652" spans="1:1" x14ac:dyDescent="0.35">
      <c r="A652" s="5"/>
    </row>
    <row r="653" spans="1:1" x14ac:dyDescent="0.35">
      <c r="A653" s="5"/>
    </row>
    <row r="654" spans="1:1" x14ac:dyDescent="0.35">
      <c r="A654" s="5"/>
    </row>
    <row r="655" spans="1:1" x14ac:dyDescent="0.35">
      <c r="A655" s="5"/>
    </row>
    <row r="656" spans="1:1" x14ac:dyDescent="0.35">
      <c r="A656" s="5"/>
    </row>
    <row r="657" spans="1:1" x14ac:dyDescent="0.35">
      <c r="A657" s="5"/>
    </row>
    <row r="658" spans="1:1" x14ac:dyDescent="0.35">
      <c r="A658" s="5"/>
    </row>
    <row r="659" spans="1:1" x14ac:dyDescent="0.35">
      <c r="A659" s="5"/>
    </row>
    <row r="660" spans="1:1" x14ac:dyDescent="0.35">
      <c r="A660" s="5"/>
    </row>
    <row r="661" spans="1:1" x14ac:dyDescent="0.35">
      <c r="A661" s="5"/>
    </row>
    <row r="662" spans="1:1" x14ac:dyDescent="0.35">
      <c r="A662" s="5"/>
    </row>
    <row r="663" spans="1:1" x14ac:dyDescent="0.35">
      <c r="A663" s="5"/>
    </row>
    <row r="664" spans="1:1" x14ac:dyDescent="0.35">
      <c r="A664" s="5"/>
    </row>
    <row r="665" spans="1:1" x14ac:dyDescent="0.35">
      <c r="A665" s="5"/>
    </row>
    <row r="666" spans="1:1" x14ac:dyDescent="0.35">
      <c r="A666" s="5"/>
    </row>
    <row r="667" spans="1:1" x14ac:dyDescent="0.35">
      <c r="A667" s="5"/>
    </row>
    <row r="668" spans="1:1" x14ac:dyDescent="0.35">
      <c r="A668" s="5"/>
    </row>
    <row r="669" spans="1:1" x14ac:dyDescent="0.35">
      <c r="A669" s="5"/>
    </row>
    <row r="670" spans="1:1" x14ac:dyDescent="0.35">
      <c r="A670" s="5"/>
    </row>
    <row r="671" spans="1:1" x14ac:dyDescent="0.35">
      <c r="A671" s="5"/>
    </row>
    <row r="672" spans="1:1" x14ac:dyDescent="0.35">
      <c r="A672" s="5"/>
    </row>
    <row r="673" spans="1:1" x14ac:dyDescent="0.35">
      <c r="A673" s="5"/>
    </row>
    <row r="674" spans="1:1" x14ac:dyDescent="0.35">
      <c r="A674" s="5"/>
    </row>
    <row r="675" spans="1:1" x14ac:dyDescent="0.35">
      <c r="A675" s="5"/>
    </row>
    <row r="676" spans="1:1" x14ac:dyDescent="0.35">
      <c r="A676" s="5"/>
    </row>
    <row r="677" spans="1:1" x14ac:dyDescent="0.35">
      <c r="A677" s="5"/>
    </row>
    <row r="678" spans="1:1" x14ac:dyDescent="0.35">
      <c r="A678" s="5"/>
    </row>
    <row r="679" spans="1:1" x14ac:dyDescent="0.35">
      <c r="A679" s="5"/>
    </row>
    <row r="680" spans="1:1" x14ac:dyDescent="0.35">
      <c r="A680" s="5"/>
    </row>
    <row r="681" spans="1:1" x14ac:dyDescent="0.35">
      <c r="A681" s="5"/>
    </row>
    <row r="682" spans="1:1" x14ac:dyDescent="0.35">
      <c r="A682" s="5"/>
    </row>
    <row r="683" spans="1:1" x14ac:dyDescent="0.35">
      <c r="A683" s="5"/>
    </row>
    <row r="684" spans="1:1" x14ac:dyDescent="0.35">
      <c r="A684" s="5"/>
    </row>
    <row r="685" spans="1:1" x14ac:dyDescent="0.35">
      <c r="A685" s="5"/>
    </row>
    <row r="686" spans="1:1" x14ac:dyDescent="0.35">
      <c r="A686" s="5"/>
    </row>
    <row r="687" spans="1:1" x14ac:dyDescent="0.35">
      <c r="A687" s="5"/>
    </row>
    <row r="688" spans="1:1" x14ac:dyDescent="0.35">
      <c r="A688" s="5"/>
    </row>
    <row r="689" spans="1:1" x14ac:dyDescent="0.35">
      <c r="A689" s="5"/>
    </row>
    <row r="690" spans="1:1" x14ac:dyDescent="0.35">
      <c r="A690" s="5"/>
    </row>
    <row r="691" spans="1:1" x14ac:dyDescent="0.35">
      <c r="A691" s="5"/>
    </row>
    <row r="692" spans="1:1" x14ac:dyDescent="0.35">
      <c r="A692" s="5"/>
    </row>
    <row r="693" spans="1:1" x14ac:dyDescent="0.35">
      <c r="A693" s="5"/>
    </row>
    <row r="694" spans="1:1" x14ac:dyDescent="0.35">
      <c r="A694" s="5"/>
    </row>
    <row r="695" spans="1:1" x14ac:dyDescent="0.35">
      <c r="A695" s="5"/>
    </row>
    <row r="696" spans="1:1" x14ac:dyDescent="0.35">
      <c r="A696" s="5"/>
    </row>
    <row r="697" spans="1:1" x14ac:dyDescent="0.35">
      <c r="A697" s="5"/>
    </row>
    <row r="698" spans="1:1" x14ac:dyDescent="0.35">
      <c r="A698" s="5"/>
    </row>
    <row r="699" spans="1:1" x14ac:dyDescent="0.35">
      <c r="A699" s="5"/>
    </row>
    <row r="700" spans="1:1" x14ac:dyDescent="0.35">
      <c r="A700" s="5"/>
    </row>
    <row r="701" spans="1:1" x14ac:dyDescent="0.35">
      <c r="A701" s="5"/>
    </row>
    <row r="702" spans="1:1" x14ac:dyDescent="0.35">
      <c r="A702" s="5"/>
    </row>
    <row r="703" spans="1:1" x14ac:dyDescent="0.35">
      <c r="A703" s="5"/>
    </row>
    <row r="704" spans="1:1" x14ac:dyDescent="0.35">
      <c r="A704" s="5"/>
    </row>
    <row r="705" spans="1:1" x14ac:dyDescent="0.35">
      <c r="A705" s="5"/>
    </row>
    <row r="706" spans="1:1" x14ac:dyDescent="0.35">
      <c r="A706" s="5"/>
    </row>
    <row r="707" spans="1:1" x14ac:dyDescent="0.35">
      <c r="A707" s="5"/>
    </row>
    <row r="708" spans="1:1" x14ac:dyDescent="0.35">
      <c r="A708" s="5"/>
    </row>
    <row r="709" spans="1:1" x14ac:dyDescent="0.35">
      <c r="A709" s="5"/>
    </row>
    <row r="710" spans="1:1" x14ac:dyDescent="0.35">
      <c r="A710" s="5"/>
    </row>
    <row r="711" spans="1:1" x14ac:dyDescent="0.35">
      <c r="A711" s="5"/>
    </row>
    <row r="712" spans="1:1" x14ac:dyDescent="0.35">
      <c r="A712" s="5"/>
    </row>
    <row r="713" spans="1:1" x14ac:dyDescent="0.35">
      <c r="A713" s="5"/>
    </row>
    <row r="714" spans="1:1" x14ac:dyDescent="0.35">
      <c r="A714" s="5"/>
    </row>
    <row r="715" spans="1:1" x14ac:dyDescent="0.35">
      <c r="A715" s="5"/>
    </row>
    <row r="716" spans="1:1" x14ac:dyDescent="0.35">
      <c r="A716" s="5"/>
    </row>
    <row r="717" spans="1:1" x14ac:dyDescent="0.35">
      <c r="A717" s="5"/>
    </row>
    <row r="718" spans="1:1" x14ac:dyDescent="0.35">
      <c r="A718" s="5"/>
    </row>
    <row r="719" spans="1:1" x14ac:dyDescent="0.35">
      <c r="A719" s="5"/>
    </row>
    <row r="720" spans="1:1" x14ac:dyDescent="0.35">
      <c r="A720" s="5"/>
    </row>
    <row r="721" spans="1:1" x14ac:dyDescent="0.35">
      <c r="A721" s="5"/>
    </row>
    <row r="722" spans="1:1" x14ac:dyDescent="0.35">
      <c r="A722" s="5"/>
    </row>
    <row r="723" spans="1:1" x14ac:dyDescent="0.35">
      <c r="A723" s="5"/>
    </row>
    <row r="724" spans="1:1" x14ac:dyDescent="0.35">
      <c r="A724" s="5"/>
    </row>
    <row r="725" spans="1:1" x14ac:dyDescent="0.35">
      <c r="A725" s="5"/>
    </row>
    <row r="726" spans="1:1" x14ac:dyDescent="0.35">
      <c r="A726" s="5"/>
    </row>
    <row r="727" spans="1:1" x14ac:dyDescent="0.35">
      <c r="A727" s="5"/>
    </row>
    <row r="728" spans="1:1" x14ac:dyDescent="0.35">
      <c r="A728" s="5"/>
    </row>
    <row r="729" spans="1:1" x14ac:dyDescent="0.35">
      <c r="A729" s="5"/>
    </row>
    <row r="730" spans="1:1" x14ac:dyDescent="0.35">
      <c r="A730" s="5"/>
    </row>
    <row r="731" spans="1:1" x14ac:dyDescent="0.35">
      <c r="A731" s="5"/>
    </row>
    <row r="732" spans="1:1" x14ac:dyDescent="0.35">
      <c r="A732" s="5"/>
    </row>
    <row r="733" spans="1:1" x14ac:dyDescent="0.35">
      <c r="A733" s="5"/>
    </row>
    <row r="734" spans="1:1" x14ac:dyDescent="0.35">
      <c r="A734" s="5"/>
    </row>
    <row r="735" spans="1:1" x14ac:dyDescent="0.35">
      <c r="A735" s="5"/>
    </row>
    <row r="736" spans="1:1" x14ac:dyDescent="0.35">
      <c r="A736" s="5"/>
    </row>
    <row r="737" spans="1:1" x14ac:dyDescent="0.35">
      <c r="A737" s="5"/>
    </row>
    <row r="738" spans="1:1" x14ac:dyDescent="0.35">
      <c r="A738" s="5"/>
    </row>
    <row r="739" spans="1:1" x14ac:dyDescent="0.35">
      <c r="A739" s="5"/>
    </row>
    <row r="740" spans="1:1" x14ac:dyDescent="0.35">
      <c r="A740" s="5"/>
    </row>
    <row r="741" spans="1:1" x14ac:dyDescent="0.35">
      <c r="A741" s="5"/>
    </row>
    <row r="742" spans="1:1" x14ac:dyDescent="0.35">
      <c r="A742" s="5"/>
    </row>
    <row r="743" spans="1:1" x14ac:dyDescent="0.35">
      <c r="A743" s="5"/>
    </row>
    <row r="744" spans="1:1" x14ac:dyDescent="0.35">
      <c r="A744" s="5"/>
    </row>
    <row r="745" spans="1:1" x14ac:dyDescent="0.35">
      <c r="A745" s="5"/>
    </row>
    <row r="746" spans="1:1" x14ac:dyDescent="0.35">
      <c r="A746" s="5"/>
    </row>
    <row r="747" spans="1:1" x14ac:dyDescent="0.35">
      <c r="A747" s="5"/>
    </row>
    <row r="748" spans="1:1" x14ac:dyDescent="0.35">
      <c r="A748" s="5"/>
    </row>
    <row r="749" spans="1:1" x14ac:dyDescent="0.35">
      <c r="A749" s="5"/>
    </row>
    <row r="750" spans="1:1" x14ac:dyDescent="0.35">
      <c r="A750" s="5"/>
    </row>
    <row r="751" spans="1:1" x14ac:dyDescent="0.35">
      <c r="A751" s="5"/>
    </row>
    <row r="752" spans="1:1" x14ac:dyDescent="0.35">
      <c r="A752" s="5"/>
    </row>
    <row r="753" spans="1:1" x14ac:dyDescent="0.35">
      <c r="A753" s="5"/>
    </row>
    <row r="754" spans="1:1" x14ac:dyDescent="0.35">
      <c r="A754" s="5"/>
    </row>
    <row r="755" spans="1:1" x14ac:dyDescent="0.35">
      <c r="A755" s="5"/>
    </row>
    <row r="756" spans="1:1" x14ac:dyDescent="0.35">
      <c r="A756" s="5"/>
    </row>
    <row r="757" spans="1:1" x14ac:dyDescent="0.35">
      <c r="A757" s="5"/>
    </row>
    <row r="758" spans="1:1" x14ac:dyDescent="0.35">
      <c r="A758" s="5"/>
    </row>
    <row r="759" spans="1:1" x14ac:dyDescent="0.35">
      <c r="A759" s="5"/>
    </row>
    <row r="760" spans="1:1" x14ac:dyDescent="0.35">
      <c r="A760" s="5"/>
    </row>
    <row r="761" spans="1:1" x14ac:dyDescent="0.35">
      <c r="A761" s="5"/>
    </row>
    <row r="762" spans="1:1" x14ac:dyDescent="0.35">
      <c r="A762" s="5"/>
    </row>
    <row r="763" spans="1:1" x14ac:dyDescent="0.35">
      <c r="A763" s="5"/>
    </row>
    <row r="764" spans="1:1" x14ac:dyDescent="0.35">
      <c r="A764" s="5"/>
    </row>
    <row r="765" spans="1:1" x14ac:dyDescent="0.35">
      <c r="A765" s="5"/>
    </row>
    <row r="766" spans="1:1" x14ac:dyDescent="0.35">
      <c r="A766" s="5"/>
    </row>
    <row r="767" spans="1:1" x14ac:dyDescent="0.35">
      <c r="A767" s="5"/>
    </row>
    <row r="768" spans="1:1" x14ac:dyDescent="0.35">
      <c r="A768" s="5"/>
    </row>
    <row r="769" spans="1:1" x14ac:dyDescent="0.35">
      <c r="A769" s="5"/>
    </row>
    <row r="770" spans="1:1" x14ac:dyDescent="0.35">
      <c r="A770" s="5"/>
    </row>
    <row r="771" spans="1:1" x14ac:dyDescent="0.35">
      <c r="A771" s="5"/>
    </row>
    <row r="772" spans="1:1" x14ac:dyDescent="0.35">
      <c r="A772" s="5"/>
    </row>
    <row r="773" spans="1:1" x14ac:dyDescent="0.35">
      <c r="A773" s="5"/>
    </row>
    <row r="774" spans="1:1" x14ac:dyDescent="0.35">
      <c r="A774" s="5"/>
    </row>
    <row r="775" spans="1:1" x14ac:dyDescent="0.35">
      <c r="A775" s="5"/>
    </row>
    <row r="776" spans="1:1" x14ac:dyDescent="0.35">
      <c r="A776" s="5"/>
    </row>
    <row r="777" spans="1:1" x14ac:dyDescent="0.35">
      <c r="A777" s="5"/>
    </row>
    <row r="778" spans="1:1" x14ac:dyDescent="0.35">
      <c r="A778" s="5"/>
    </row>
    <row r="779" spans="1:1" x14ac:dyDescent="0.35">
      <c r="A779" s="5"/>
    </row>
    <row r="780" spans="1:1" x14ac:dyDescent="0.35">
      <c r="A780" s="5"/>
    </row>
    <row r="781" spans="1:1" x14ac:dyDescent="0.35">
      <c r="A781" s="5"/>
    </row>
    <row r="782" spans="1:1" x14ac:dyDescent="0.35">
      <c r="A782" s="5"/>
    </row>
    <row r="783" spans="1:1" x14ac:dyDescent="0.35">
      <c r="A783" s="5"/>
    </row>
    <row r="784" spans="1:1" x14ac:dyDescent="0.35">
      <c r="A784" s="5"/>
    </row>
    <row r="785" spans="1:1" x14ac:dyDescent="0.35">
      <c r="A785" s="5"/>
    </row>
    <row r="786" spans="1:1" x14ac:dyDescent="0.35">
      <c r="A786" s="5"/>
    </row>
    <row r="787" spans="1:1" x14ac:dyDescent="0.35">
      <c r="A787" s="5"/>
    </row>
    <row r="788" spans="1:1" x14ac:dyDescent="0.35">
      <c r="A788" s="5"/>
    </row>
    <row r="789" spans="1:1" x14ac:dyDescent="0.35">
      <c r="A789" s="5"/>
    </row>
    <row r="790" spans="1:1" x14ac:dyDescent="0.35">
      <c r="A790" s="5"/>
    </row>
    <row r="791" spans="1:1" x14ac:dyDescent="0.35">
      <c r="A791" s="5"/>
    </row>
    <row r="792" spans="1:1" x14ac:dyDescent="0.35">
      <c r="A792" s="5"/>
    </row>
    <row r="793" spans="1:1" x14ac:dyDescent="0.35">
      <c r="A793" s="5"/>
    </row>
    <row r="794" spans="1:1" x14ac:dyDescent="0.35">
      <c r="A794" s="5"/>
    </row>
    <row r="795" spans="1:1" x14ac:dyDescent="0.35">
      <c r="A795" s="5"/>
    </row>
    <row r="796" spans="1:1" x14ac:dyDescent="0.35">
      <c r="A796" s="5"/>
    </row>
    <row r="797" spans="1:1" x14ac:dyDescent="0.35">
      <c r="A797" s="5"/>
    </row>
    <row r="798" spans="1:1" x14ac:dyDescent="0.35">
      <c r="A798" s="5"/>
    </row>
    <row r="799" spans="1:1" x14ac:dyDescent="0.35">
      <c r="A799" s="5"/>
    </row>
    <row r="800" spans="1:1" x14ac:dyDescent="0.35">
      <c r="A800" s="5"/>
    </row>
    <row r="801" spans="1:1" x14ac:dyDescent="0.35">
      <c r="A801" s="5"/>
    </row>
    <row r="802" spans="1:1" x14ac:dyDescent="0.35">
      <c r="A802" s="5"/>
    </row>
    <row r="803" spans="1:1" x14ac:dyDescent="0.35">
      <c r="A803" s="5"/>
    </row>
    <row r="804" spans="1:1" x14ac:dyDescent="0.35">
      <c r="A804" s="5"/>
    </row>
    <row r="805" spans="1:1" x14ac:dyDescent="0.35">
      <c r="A805" s="5"/>
    </row>
    <row r="806" spans="1:1" x14ac:dyDescent="0.35">
      <c r="A806" s="5"/>
    </row>
    <row r="807" spans="1:1" x14ac:dyDescent="0.35">
      <c r="A807" s="5"/>
    </row>
    <row r="808" spans="1:1" x14ac:dyDescent="0.35">
      <c r="A808" s="5"/>
    </row>
    <row r="809" spans="1:1" x14ac:dyDescent="0.35">
      <c r="A809" s="5"/>
    </row>
    <row r="810" spans="1:1" x14ac:dyDescent="0.35">
      <c r="A810" s="5"/>
    </row>
    <row r="811" spans="1:1" x14ac:dyDescent="0.35">
      <c r="A811" s="5"/>
    </row>
    <row r="812" spans="1:1" x14ac:dyDescent="0.35">
      <c r="A812" s="5"/>
    </row>
    <row r="813" spans="1:1" x14ac:dyDescent="0.35">
      <c r="A813" s="5"/>
    </row>
    <row r="814" spans="1:1" x14ac:dyDescent="0.35">
      <c r="A814" s="5"/>
    </row>
    <row r="815" spans="1:1" x14ac:dyDescent="0.35">
      <c r="A815" s="5"/>
    </row>
    <row r="816" spans="1:1" x14ac:dyDescent="0.35">
      <c r="A816" s="5"/>
    </row>
    <row r="817" spans="1:1" x14ac:dyDescent="0.35">
      <c r="A817" s="5"/>
    </row>
    <row r="818" spans="1:1" x14ac:dyDescent="0.35">
      <c r="A818" s="5"/>
    </row>
    <row r="819" spans="1:1" x14ac:dyDescent="0.35">
      <c r="A819" s="5"/>
    </row>
    <row r="820" spans="1:1" x14ac:dyDescent="0.35">
      <c r="A820" s="5"/>
    </row>
    <row r="821" spans="1:1" x14ac:dyDescent="0.35">
      <c r="A821" s="5"/>
    </row>
    <row r="822" spans="1:1" x14ac:dyDescent="0.35">
      <c r="A822" s="5"/>
    </row>
    <row r="823" spans="1:1" x14ac:dyDescent="0.35">
      <c r="A823" s="5"/>
    </row>
    <row r="824" spans="1:1" x14ac:dyDescent="0.35">
      <c r="A824" s="5"/>
    </row>
    <row r="825" spans="1:1" x14ac:dyDescent="0.35">
      <c r="A825" s="5"/>
    </row>
    <row r="826" spans="1:1" x14ac:dyDescent="0.35">
      <c r="A826" s="5"/>
    </row>
    <row r="827" spans="1:1" x14ac:dyDescent="0.35">
      <c r="A827" s="5"/>
    </row>
    <row r="828" spans="1:1" x14ac:dyDescent="0.35">
      <c r="A828" s="5"/>
    </row>
    <row r="829" spans="1:1" x14ac:dyDescent="0.35">
      <c r="A829" s="5"/>
    </row>
    <row r="830" spans="1:1" x14ac:dyDescent="0.35">
      <c r="A830" s="5"/>
    </row>
    <row r="831" spans="1:1" x14ac:dyDescent="0.35">
      <c r="A831" s="5"/>
    </row>
    <row r="832" spans="1:1" x14ac:dyDescent="0.35">
      <c r="A832" s="5"/>
    </row>
    <row r="833" spans="1:1" x14ac:dyDescent="0.35">
      <c r="A833" s="5"/>
    </row>
    <row r="834" spans="1:1" x14ac:dyDescent="0.35">
      <c r="A834" s="5"/>
    </row>
    <row r="835" spans="1:1" x14ac:dyDescent="0.35">
      <c r="A835" s="5"/>
    </row>
    <row r="836" spans="1:1" x14ac:dyDescent="0.35">
      <c r="A836" s="5"/>
    </row>
    <row r="837" spans="1:1" x14ac:dyDescent="0.35">
      <c r="A837" s="5"/>
    </row>
    <row r="838" spans="1:1" x14ac:dyDescent="0.35">
      <c r="A838" s="5"/>
    </row>
    <row r="839" spans="1:1" x14ac:dyDescent="0.35">
      <c r="A839" s="5"/>
    </row>
    <row r="840" spans="1:1" x14ac:dyDescent="0.35">
      <c r="A840" s="5"/>
    </row>
    <row r="841" spans="1:1" x14ac:dyDescent="0.35">
      <c r="A841" s="5"/>
    </row>
    <row r="842" spans="1:1" x14ac:dyDescent="0.35">
      <c r="A842" s="5"/>
    </row>
    <row r="843" spans="1:1" x14ac:dyDescent="0.35">
      <c r="A843" s="5"/>
    </row>
    <row r="844" spans="1:1" x14ac:dyDescent="0.35">
      <c r="A844" s="5"/>
    </row>
    <row r="845" spans="1:1" x14ac:dyDescent="0.35">
      <c r="A845" s="5"/>
    </row>
    <row r="846" spans="1:1" x14ac:dyDescent="0.35">
      <c r="A846" s="5"/>
    </row>
    <row r="847" spans="1:1" x14ac:dyDescent="0.35">
      <c r="A847" s="5"/>
    </row>
    <row r="848" spans="1:1" x14ac:dyDescent="0.35">
      <c r="A848" s="5"/>
    </row>
    <row r="849" spans="1:1" x14ac:dyDescent="0.35">
      <c r="A849" s="5"/>
    </row>
    <row r="850" spans="1:1" x14ac:dyDescent="0.35">
      <c r="A850" s="5"/>
    </row>
    <row r="851" spans="1:1" x14ac:dyDescent="0.35">
      <c r="A851" s="5"/>
    </row>
    <row r="852" spans="1:1" x14ac:dyDescent="0.35">
      <c r="A852" s="5"/>
    </row>
    <row r="853" spans="1:1" x14ac:dyDescent="0.35">
      <c r="A853" s="5"/>
    </row>
    <row r="854" spans="1:1" x14ac:dyDescent="0.35">
      <c r="A854" s="5"/>
    </row>
    <row r="855" spans="1:1" x14ac:dyDescent="0.35">
      <c r="A855" s="5"/>
    </row>
    <row r="856" spans="1:1" x14ac:dyDescent="0.35">
      <c r="A856" s="5"/>
    </row>
    <row r="857" spans="1:1" x14ac:dyDescent="0.35">
      <c r="A857" s="5"/>
    </row>
    <row r="858" spans="1:1" x14ac:dyDescent="0.35">
      <c r="A858" s="5"/>
    </row>
    <row r="859" spans="1:1" x14ac:dyDescent="0.35">
      <c r="A859" s="5"/>
    </row>
    <row r="860" spans="1:1" x14ac:dyDescent="0.35">
      <c r="A860" s="5"/>
    </row>
    <row r="861" spans="1:1" x14ac:dyDescent="0.35">
      <c r="A861" s="5"/>
    </row>
    <row r="862" spans="1:1" x14ac:dyDescent="0.35">
      <c r="A862" s="5"/>
    </row>
    <row r="863" spans="1:1" x14ac:dyDescent="0.35">
      <c r="A863" s="5"/>
    </row>
    <row r="864" spans="1:1" x14ac:dyDescent="0.35">
      <c r="A864" s="5"/>
    </row>
    <row r="865" spans="1:1" x14ac:dyDescent="0.35">
      <c r="A865" s="5"/>
    </row>
    <row r="866" spans="1:1" x14ac:dyDescent="0.35">
      <c r="A866" s="5"/>
    </row>
    <row r="867" spans="1:1" x14ac:dyDescent="0.35">
      <c r="A867" s="5"/>
    </row>
    <row r="868" spans="1:1" x14ac:dyDescent="0.35">
      <c r="A868" s="5"/>
    </row>
    <row r="869" spans="1:1" x14ac:dyDescent="0.35">
      <c r="A869" s="5"/>
    </row>
    <row r="870" spans="1:1" x14ac:dyDescent="0.35">
      <c r="A870" s="5"/>
    </row>
    <row r="871" spans="1:1" x14ac:dyDescent="0.35">
      <c r="A871" s="5"/>
    </row>
    <row r="872" spans="1:1" x14ac:dyDescent="0.35">
      <c r="A872" s="5"/>
    </row>
    <row r="873" spans="1:1" x14ac:dyDescent="0.35">
      <c r="A873" s="5"/>
    </row>
    <row r="874" spans="1:1" x14ac:dyDescent="0.35">
      <c r="A874" s="5"/>
    </row>
    <row r="875" spans="1:1" x14ac:dyDescent="0.35">
      <c r="A875" s="5"/>
    </row>
    <row r="876" spans="1:1" x14ac:dyDescent="0.35">
      <c r="A876" s="5"/>
    </row>
    <row r="877" spans="1:1" x14ac:dyDescent="0.35">
      <c r="A877" s="5"/>
    </row>
    <row r="878" spans="1:1" x14ac:dyDescent="0.35">
      <c r="A878" s="5"/>
    </row>
    <row r="879" spans="1:1" x14ac:dyDescent="0.35">
      <c r="A879" s="5"/>
    </row>
    <row r="880" spans="1:1" x14ac:dyDescent="0.35">
      <c r="A880" s="5"/>
    </row>
    <row r="881" spans="1:1" x14ac:dyDescent="0.35">
      <c r="A881" s="5"/>
    </row>
    <row r="882" spans="1:1" x14ac:dyDescent="0.35">
      <c r="A882" s="5"/>
    </row>
    <row r="883" spans="1:1" x14ac:dyDescent="0.35">
      <c r="A883" s="5"/>
    </row>
    <row r="884" spans="1:1" x14ac:dyDescent="0.35">
      <c r="A884" s="5"/>
    </row>
    <row r="885" spans="1:1" x14ac:dyDescent="0.35">
      <c r="A885" s="5"/>
    </row>
    <row r="886" spans="1:1" x14ac:dyDescent="0.35">
      <c r="A886" s="5"/>
    </row>
    <row r="887" spans="1:1" x14ac:dyDescent="0.35">
      <c r="A887" s="5"/>
    </row>
    <row r="888" spans="1:1" x14ac:dyDescent="0.35">
      <c r="A888" s="5"/>
    </row>
    <row r="889" spans="1:1" x14ac:dyDescent="0.35">
      <c r="A889" s="5"/>
    </row>
    <row r="890" spans="1:1" x14ac:dyDescent="0.35">
      <c r="A890" s="5"/>
    </row>
    <row r="891" spans="1:1" x14ac:dyDescent="0.35">
      <c r="A891" s="5"/>
    </row>
    <row r="892" spans="1:1" x14ac:dyDescent="0.35">
      <c r="A892" s="5"/>
    </row>
    <row r="893" spans="1:1" x14ac:dyDescent="0.35">
      <c r="A893" s="5"/>
    </row>
    <row r="894" spans="1:1" x14ac:dyDescent="0.35">
      <c r="A894" s="5"/>
    </row>
    <row r="895" spans="1:1" x14ac:dyDescent="0.35">
      <c r="A895" s="5"/>
    </row>
    <row r="896" spans="1:1" x14ac:dyDescent="0.35">
      <c r="A896" s="5"/>
    </row>
    <row r="897" spans="1:1" x14ac:dyDescent="0.35">
      <c r="A897" s="5"/>
    </row>
    <row r="898" spans="1:1" x14ac:dyDescent="0.35">
      <c r="A898" s="5"/>
    </row>
    <row r="899" spans="1:1" x14ac:dyDescent="0.35">
      <c r="A899" s="5"/>
    </row>
    <row r="900" spans="1:1" x14ac:dyDescent="0.35">
      <c r="A900" s="5"/>
    </row>
    <row r="901" spans="1:1" x14ac:dyDescent="0.35">
      <c r="A901" s="5"/>
    </row>
    <row r="902" spans="1:1" x14ac:dyDescent="0.35">
      <c r="A902" s="5"/>
    </row>
    <row r="903" spans="1:1" x14ac:dyDescent="0.35">
      <c r="A903" s="5"/>
    </row>
    <row r="904" spans="1:1" x14ac:dyDescent="0.35">
      <c r="A904" s="5"/>
    </row>
    <row r="905" spans="1:1" x14ac:dyDescent="0.35">
      <c r="A905" s="5"/>
    </row>
    <row r="906" spans="1:1" x14ac:dyDescent="0.35">
      <c r="A906" s="5"/>
    </row>
    <row r="907" spans="1:1" x14ac:dyDescent="0.35">
      <c r="A907" s="5"/>
    </row>
    <row r="908" spans="1:1" x14ac:dyDescent="0.35">
      <c r="A908" s="5"/>
    </row>
    <row r="909" spans="1:1" x14ac:dyDescent="0.35">
      <c r="A909" s="5"/>
    </row>
    <row r="910" spans="1:1" x14ac:dyDescent="0.35">
      <c r="A910" s="5"/>
    </row>
    <row r="911" spans="1:1" x14ac:dyDescent="0.35">
      <c r="A911" s="5"/>
    </row>
    <row r="912" spans="1:1" x14ac:dyDescent="0.35">
      <c r="A912" s="5"/>
    </row>
    <row r="913" spans="1:1" x14ac:dyDescent="0.35">
      <c r="A913" s="5"/>
    </row>
    <row r="914" spans="1:1" x14ac:dyDescent="0.35">
      <c r="A914" s="5"/>
    </row>
    <row r="915" spans="1:1" x14ac:dyDescent="0.35">
      <c r="A915" s="5"/>
    </row>
    <row r="916" spans="1:1" x14ac:dyDescent="0.35">
      <c r="A916" s="5"/>
    </row>
    <row r="917" spans="1:1" x14ac:dyDescent="0.35">
      <c r="A917" s="5"/>
    </row>
    <row r="918" spans="1:1" x14ac:dyDescent="0.35">
      <c r="A918" s="5"/>
    </row>
    <row r="919" spans="1:1" x14ac:dyDescent="0.35">
      <c r="A919" s="5"/>
    </row>
    <row r="920" spans="1:1" x14ac:dyDescent="0.35">
      <c r="A920" s="5"/>
    </row>
    <row r="921" spans="1:1" x14ac:dyDescent="0.35">
      <c r="A921" s="5"/>
    </row>
    <row r="922" spans="1:1" x14ac:dyDescent="0.35">
      <c r="A922" s="5"/>
    </row>
    <row r="923" spans="1:1" x14ac:dyDescent="0.35">
      <c r="A923" s="5"/>
    </row>
    <row r="924" spans="1:1" x14ac:dyDescent="0.35">
      <c r="A924" s="5"/>
    </row>
    <row r="925" spans="1:1" x14ac:dyDescent="0.35">
      <c r="A925" s="5"/>
    </row>
    <row r="926" spans="1:1" x14ac:dyDescent="0.35">
      <c r="A926" s="5"/>
    </row>
    <row r="927" spans="1:1" x14ac:dyDescent="0.35">
      <c r="A927" s="5"/>
    </row>
    <row r="928" spans="1:1" x14ac:dyDescent="0.35">
      <c r="A928" s="5"/>
    </row>
    <row r="929" spans="1:1" x14ac:dyDescent="0.35">
      <c r="A929" s="5"/>
    </row>
    <row r="930" spans="1:1" x14ac:dyDescent="0.35">
      <c r="A930" s="5"/>
    </row>
    <row r="931" spans="1:1" x14ac:dyDescent="0.35">
      <c r="A931" s="5"/>
    </row>
    <row r="932" spans="1:1" x14ac:dyDescent="0.35">
      <c r="A932" s="5"/>
    </row>
    <row r="933" spans="1:1" x14ac:dyDescent="0.35">
      <c r="A933" s="5"/>
    </row>
    <row r="934" spans="1:1" x14ac:dyDescent="0.35">
      <c r="A934" s="5"/>
    </row>
    <row r="935" spans="1:1" x14ac:dyDescent="0.35">
      <c r="A935" s="5"/>
    </row>
    <row r="936" spans="1:1" x14ac:dyDescent="0.35">
      <c r="A936" s="5"/>
    </row>
    <row r="937" spans="1:1" x14ac:dyDescent="0.35">
      <c r="A937" s="5"/>
    </row>
    <row r="938" spans="1:1" x14ac:dyDescent="0.35">
      <c r="A938" s="5"/>
    </row>
    <row r="939" spans="1:1" x14ac:dyDescent="0.35">
      <c r="A939" s="5"/>
    </row>
    <row r="940" spans="1:1" x14ac:dyDescent="0.35">
      <c r="A940" s="5"/>
    </row>
    <row r="941" spans="1:1" x14ac:dyDescent="0.35">
      <c r="A941" s="5"/>
    </row>
    <row r="942" spans="1:1" x14ac:dyDescent="0.35">
      <c r="A942" s="5"/>
    </row>
    <row r="943" spans="1:1" x14ac:dyDescent="0.35">
      <c r="A943" s="5"/>
    </row>
    <row r="944" spans="1:1" x14ac:dyDescent="0.35">
      <c r="A944" s="5"/>
    </row>
    <row r="945" spans="1:1" x14ac:dyDescent="0.35">
      <c r="A945" s="5"/>
    </row>
    <row r="946" spans="1:1" x14ac:dyDescent="0.35">
      <c r="A946" s="5"/>
    </row>
    <row r="947" spans="1:1" x14ac:dyDescent="0.35">
      <c r="A947" s="5"/>
    </row>
    <row r="948" spans="1:1" x14ac:dyDescent="0.35">
      <c r="A948" s="5"/>
    </row>
    <row r="949" spans="1:1" x14ac:dyDescent="0.35">
      <c r="A949" s="5"/>
    </row>
    <row r="950" spans="1:1" x14ac:dyDescent="0.35">
      <c r="A950" s="5"/>
    </row>
    <row r="951" spans="1:1" x14ac:dyDescent="0.35">
      <c r="A951" s="5"/>
    </row>
    <row r="952" spans="1:1" x14ac:dyDescent="0.35">
      <c r="A952" s="5"/>
    </row>
    <row r="953" spans="1:1" x14ac:dyDescent="0.35">
      <c r="A953" s="5"/>
    </row>
    <row r="954" spans="1:1" x14ac:dyDescent="0.35">
      <c r="A954" s="5"/>
    </row>
    <row r="955" spans="1:1" x14ac:dyDescent="0.35">
      <c r="A955" s="5"/>
    </row>
    <row r="956" spans="1:1" x14ac:dyDescent="0.35">
      <c r="A956" s="5"/>
    </row>
    <row r="957" spans="1:1" x14ac:dyDescent="0.35">
      <c r="A957" s="5"/>
    </row>
    <row r="958" spans="1:1" x14ac:dyDescent="0.35">
      <c r="A958" s="5"/>
    </row>
    <row r="959" spans="1:1" x14ac:dyDescent="0.35">
      <c r="A959" s="5"/>
    </row>
    <row r="960" spans="1:1" x14ac:dyDescent="0.35">
      <c r="A960" s="5"/>
    </row>
    <row r="961" spans="1:1" x14ac:dyDescent="0.35">
      <c r="A961" s="5"/>
    </row>
    <row r="962" spans="1:1" x14ac:dyDescent="0.35">
      <c r="A962" s="5"/>
    </row>
    <row r="963" spans="1:1" x14ac:dyDescent="0.35">
      <c r="A963" s="5"/>
    </row>
    <row r="964" spans="1:1" x14ac:dyDescent="0.35">
      <c r="A964" s="5"/>
    </row>
    <row r="965" spans="1:1" x14ac:dyDescent="0.35">
      <c r="A965" s="5"/>
    </row>
    <row r="966" spans="1:1" x14ac:dyDescent="0.35">
      <c r="A966" s="5"/>
    </row>
    <row r="967" spans="1:1" x14ac:dyDescent="0.35">
      <c r="A967" s="5"/>
    </row>
    <row r="968" spans="1:1" x14ac:dyDescent="0.35">
      <c r="A968" s="5"/>
    </row>
    <row r="969" spans="1:1" x14ac:dyDescent="0.35">
      <c r="A969" s="5"/>
    </row>
    <row r="970" spans="1:1" x14ac:dyDescent="0.35">
      <c r="A970" s="5"/>
    </row>
    <row r="971" spans="1:1" x14ac:dyDescent="0.35">
      <c r="A971" s="5"/>
    </row>
    <row r="972" spans="1:1" x14ac:dyDescent="0.35">
      <c r="A972" s="5"/>
    </row>
    <row r="973" spans="1:1" x14ac:dyDescent="0.35">
      <c r="A973" s="5"/>
    </row>
    <row r="974" spans="1:1" x14ac:dyDescent="0.35">
      <c r="A974" s="5"/>
    </row>
    <row r="975" spans="1:1" x14ac:dyDescent="0.35">
      <c r="A975" s="5"/>
    </row>
    <row r="976" spans="1:1" x14ac:dyDescent="0.35">
      <c r="A976" s="5"/>
    </row>
    <row r="977" spans="1:1" x14ac:dyDescent="0.35">
      <c r="A977" s="5"/>
    </row>
    <row r="978" spans="1:1" x14ac:dyDescent="0.35">
      <c r="A978" s="5"/>
    </row>
    <row r="979" spans="1:1" x14ac:dyDescent="0.35">
      <c r="A979" s="5"/>
    </row>
    <row r="980" spans="1:1" x14ac:dyDescent="0.35">
      <c r="A980" s="5"/>
    </row>
    <row r="981" spans="1:1" x14ac:dyDescent="0.35">
      <c r="A981" s="5"/>
    </row>
    <row r="982" spans="1:1" x14ac:dyDescent="0.35">
      <c r="A982" s="5"/>
    </row>
    <row r="983" spans="1:1" x14ac:dyDescent="0.35">
      <c r="A983" s="5"/>
    </row>
    <row r="984" spans="1:1" x14ac:dyDescent="0.35">
      <c r="A984" s="5"/>
    </row>
    <row r="985" spans="1:1" x14ac:dyDescent="0.35">
      <c r="A985" s="5"/>
    </row>
    <row r="986" spans="1:1" x14ac:dyDescent="0.35">
      <c r="A986" s="5"/>
    </row>
    <row r="987" spans="1:1" x14ac:dyDescent="0.35">
      <c r="A987" s="5"/>
    </row>
    <row r="988" spans="1:1" x14ac:dyDescent="0.35">
      <c r="A988" s="5"/>
    </row>
    <row r="989" spans="1:1" x14ac:dyDescent="0.35">
      <c r="A989" s="5"/>
    </row>
    <row r="990" spans="1:1" x14ac:dyDescent="0.35">
      <c r="A990" s="5"/>
    </row>
    <row r="991" spans="1:1" x14ac:dyDescent="0.35">
      <c r="A991" s="5"/>
    </row>
    <row r="992" spans="1:1" x14ac:dyDescent="0.35">
      <c r="A992" s="5"/>
    </row>
    <row r="993" spans="1:1" x14ac:dyDescent="0.35">
      <c r="A993" s="5"/>
    </row>
    <row r="994" spans="1:1" x14ac:dyDescent="0.35">
      <c r="A994" s="5"/>
    </row>
    <row r="995" spans="1:1" x14ac:dyDescent="0.35">
      <c r="A995" s="5"/>
    </row>
    <row r="996" spans="1:1" x14ac:dyDescent="0.35">
      <c r="A996" s="5"/>
    </row>
    <row r="997" spans="1:1" x14ac:dyDescent="0.35">
      <c r="A997" s="5"/>
    </row>
    <row r="998" spans="1:1" x14ac:dyDescent="0.35">
      <c r="A998" s="5"/>
    </row>
    <row r="999" spans="1:1" x14ac:dyDescent="0.35">
      <c r="A999" s="5"/>
    </row>
    <row r="1000" spans="1:1" x14ac:dyDescent="0.35">
      <c r="A1000" s="5"/>
    </row>
    <row r="1001" spans="1:1" x14ac:dyDescent="0.35">
      <c r="A1001" s="5"/>
    </row>
    <row r="1002" spans="1:1" x14ac:dyDescent="0.35">
      <c r="A1002" s="5"/>
    </row>
    <row r="1003" spans="1:1" x14ac:dyDescent="0.35">
      <c r="A1003" s="5"/>
    </row>
    <row r="1004" spans="1:1" x14ac:dyDescent="0.35">
      <c r="A1004" s="5"/>
    </row>
    <row r="1005" spans="1:1" x14ac:dyDescent="0.35">
      <c r="A1005" s="5"/>
    </row>
    <row r="1006" spans="1:1" x14ac:dyDescent="0.35">
      <c r="A1006" s="5"/>
    </row>
    <row r="1007" spans="1:1" x14ac:dyDescent="0.35">
      <c r="A1007" s="5"/>
    </row>
    <row r="1008" spans="1:1" x14ac:dyDescent="0.35">
      <c r="A1008" s="5"/>
    </row>
    <row r="1009" spans="1:1" x14ac:dyDescent="0.35">
      <c r="A1009" s="5"/>
    </row>
    <row r="1010" spans="1:1" x14ac:dyDescent="0.35">
      <c r="A1010" s="5"/>
    </row>
    <row r="1011" spans="1:1" x14ac:dyDescent="0.35">
      <c r="A1011" s="5"/>
    </row>
    <row r="1012" spans="1:1" x14ac:dyDescent="0.35">
      <c r="A1012" s="5"/>
    </row>
    <row r="1013" spans="1:1" x14ac:dyDescent="0.35">
      <c r="A1013" s="5"/>
    </row>
    <row r="1014" spans="1:1" x14ac:dyDescent="0.35">
      <c r="A1014" s="5"/>
    </row>
    <row r="1015" spans="1:1" x14ac:dyDescent="0.35">
      <c r="A1015" s="5"/>
    </row>
    <row r="1016" spans="1:1" x14ac:dyDescent="0.35">
      <c r="A1016" s="5"/>
    </row>
    <row r="1017" spans="1:1" x14ac:dyDescent="0.35">
      <c r="A1017" s="5"/>
    </row>
    <row r="1018" spans="1:1" x14ac:dyDescent="0.35">
      <c r="A1018" s="5"/>
    </row>
    <row r="1019" spans="1:1" x14ac:dyDescent="0.35">
      <c r="A1019" s="5"/>
    </row>
    <row r="1020" spans="1:1" x14ac:dyDescent="0.35">
      <c r="A1020" s="5"/>
    </row>
    <row r="1021" spans="1:1" x14ac:dyDescent="0.35">
      <c r="A1021" s="5"/>
    </row>
    <row r="1022" spans="1:1" x14ac:dyDescent="0.35">
      <c r="A1022" s="5"/>
    </row>
    <row r="1023" spans="1:1" x14ac:dyDescent="0.35">
      <c r="A1023" s="5"/>
    </row>
    <row r="1024" spans="1:1" x14ac:dyDescent="0.35">
      <c r="A1024" s="5"/>
    </row>
    <row r="1025" spans="1:1" x14ac:dyDescent="0.35">
      <c r="A1025" s="5"/>
    </row>
    <row r="1026" spans="1:1" x14ac:dyDescent="0.35">
      <c r="A1026" s="5"/>
    </row>
    <row r="1027" spans="1:1" x14ac:dyDescent="0.35">
      <c r="A1027" s="5"/>
    </row>
    <row r="1028" spans="1:1" x14ac:dyDescent="0.35">
      <c r="A1028" s="5"/>
    </row>
    <row r="1029" spans="1:1" x14ac:dyDescent="0.35">
      <c r="A1029" s="5"/>
    </row>
    <row r="1030" spans="1:1" x14ac:dyDescent="0.35">
      <c r="A1030" s="5"/>
    </row>
    <row r="1031" spans="1:1" x14ac:dyDescent="0.35">
      <c r="A1031" s="5"/>
    </row>
    <row r="1032" spans="1:1" x14ac:dyDescent="0.35">
      <c r="A1032" s="5"/>
    </row>
    <row r="1033" spans="1:1" x14ac:dyDescent="0.35">
      <c r="A1033" s="5"/>
    </row>
    <row r="1034" spans="1:1" x14ac:dyDescent="0.35">
      <c r="A1034" s="5"/>
    </row>
    <row r="1035" spans="1:1" x14ac:dyDescent="0.35">
      <c r="A1035" s="5"/>
    </row>
    <row r="1036" spans="1:1" x14ac:dyDescent="0.35">
      <c r="A1036" s="5"/>
    </row>
    <row r="1037" spans="1:1" x14ac:dyDescent="0.35">
      <c r="A1037" s="5"/>
    </row>
    <row r="1038" spans="1:1" x14ac:dyDescent="0.35">
      <c r="A1038" s="5"/>
    </row>
    <row r="1039" spans="1:1" x14ac:dyDescent="0.35">
      <c r="A1039" s="5"/>
    </row>
    <row r="1040" spans="1:1" x14ac:dyDescent="0.35">
      <c r="A1040" s="5"/>
    </row>
    <row r="1041" spans="1:1" x14ac:dyDescent="0.35">
      <c r="A1041" s="5"/>
    </row>
    <row r="1042" spans="1:1" x14ac:dyDescent="0.35">
      <c r="A1042" s="5"/>
    </row>
    <row r="1043" spans="1:1" x14ac:dyDescent="0.35">
      <c r="A1043" s="5"/>
    </row>
    <row r="1044" spans="1:1" x14ac:dyDescent="0.35">
      <c r="A1044" s="5"/>
    </row>
    <row r="1045" spans="1:1" x14ac:dyDescent="0.35">
      <c r="A1045" s="5"/>
    </row>
    <row r="1046" spans="1:1" x14ac:dyDescent="0.35">
      <c r="A1046" s="5"/>
    </row>
    <row r="1047" spans="1:1" x14ac:dyDescent="0.35">
      <c r="A1047" s="5"/>
    </row>
    <row r="1048" spans="1:1" x14ac:dyDescent="0.35">
      <c r="A1048" s="5"/>
    </row>
    <row r="1049" spans="1:1" x14ac:dyDescent="0.35">
      <c r="A1049" s="5"/>
    </row>
    <row r="1050" spans="1:1" x14ac:dyDescent="0.35">
      <c r="A1050" s="5"/>
    </row>
    <row r="1051" spans="1:1" x14ac:dyDescent="0.35">
      <c r="A1051" s="5"/>
    </row>
    <row r="1052" spans="1:1" x14ac:dyDescent="0.35">
      <c r="A1052" s="5"/>
    </row>
    <row r="1053" spans="1:1" x14ac:dyDescent="0.35">
      <c r="A1053" s="5"/>
    </row>
    <row r="1054" spans="1:1" x14ac:dyDescent="0.35">
      <c r="A1054" s="5"/>
    </row>
    <row r="1055" spans="1:1" x14ac:dyDescent="0.35">
      <c r="A1055" s="5"/>
    </row>
    <row r="1056" spans="1:1" x14ac:dyDescent="0.35">
      <c r="A1056" s="5"/>
    </row>
    <row r="1057" spans="1:1" x14ac:dyDescent="0.35">
      <c r="A1057" s="5"/>
    </row>
    <row r="1058" spans="1:1" x14ac:dyDescent="0.35">
      <c r="A1058" s="5"/>
    </row>
    <row r="1059" spans="1:1" x14ac:dyDescent="0.35">
      <c r="A1059" s="5"/>
    </row>
    <row r="1060" spans="1:1" x14ac:dyDescent="0.35">
      <c r="A1060" s="5"/>
    </row>
    <row r="1061" spans="1:1" x14ac:dyDescent="0.35">
      <c r="A1061" s="5"/>
    </row>
    <row r="1062" spans="1:1" x14ac:dyDescent="0.35">
      <c r="A1062" s="5"/>
    </row>
    <row r="1063" spans="1:1" x14ac:dyDescent="0.35">
      <c r="A1063" s="5"/>
    </row>
    <row r="1064" spans="1:1" x14ac:dyDescent="0.35">
      <c r="A1064" s="5"/>
    </row>
    <row r="1065" spans="1:1" x14ac:dyDescent="0.35">
      <c r="A1065" s="5"/>
    </row>
    <row r="1066" spans="1:1" x14ac:dyDescent="0.35">
      <c r="A1066" s="5"/>
    </row>
    <row r="1067" spans="1:1" x14ac:dyDescent="0.35">
      <c r="A1067" s="5"/>
    </row>
    <row r="1068" spans="1:1" x14ac:dyDescent="0.35">
      <c r="A1068" s="5"/>
    </row>
    <row r="1069" spans="1:1" x14ac:dyDescent="0.35">
      <c r="A1069" s="5"/>
    </row>
    <row r="1070" spans="1:1" x14ac:dyDescent="0.35">
      <c r="A1070" s="5"/>
    </row>
    <row r="1071" spans="1:1" x14ac:dyDescent="0.35">
      <c r="A1071" s="5"/>
    </row>
    <row r="1072" spans="1:1" x14ac:dyDescent="0.35">
      <c r="A1072" s="5"/>
    </row>
  </sheetData>
  <autoFilter ref="A1:F541" xr:uid="{C0149768-41BB-4395-8C9A-8C69A82D2CD1}">
    <sortState xmlns:xlrd2="http://schemas.microsoft.com/office/spreadsheetml/2017/richdata2" ref="A2:F541">
      <sortCondition descending="1" ref="D1:D541"/>
    </sortState>
  </autoFilter>
  <conditionalFormatting sqref="A1:A1048576">
    <cfRule type="duplicateValues" dxfId="16" priority="9"/>
  </conditionalFormatting>
  <conditionalFormatting sqref="G530">
    <cfRule type="cellIs" dxfId="15" priority="8" operator="equal">
      <formula>1</formula>
    </cfRule>
  </conditionalFormatting>
  <conditionalFormatting sqref="F1:F1048576">
    <cfRule type="cellIs" dxfId="14" priority="1" operator="equal">
      <formula>4</formula>
    </cfRule>
    <cfRule type="cellIs" dxfId="13" priority="2" operator="equal">
      <formula>3</formula>
    </cfRule>
    <cfRule type="cellIs" dxfId="12" priority="3" operator="equal">
      <formula>4</formula>
    </cfRule>
    <cfRule type="cellIs" dxfId="11" priority="4" operator="equal">
      <formula>2</formula>
    </cfRule>
    <cfRule type="cellIs" dxfId="10" priority="5" operator="equal">
      <formula>3</formula>
    </cfRule>
    <cfRule type="cellIs" dxfId="9" priority="6" operator="equal">
      <formula>2</formula>
    </cfRule>
    <cfRule type="cellIs" dxfId="8" priority="7" operator="equal">
      <formula>1</formula>
    </cfRule>
  </conditionalFormatting>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58AB24-7A1F-447B-81FD-D1B469979251}">
  <dimension ref="A1"/>
  <sheetViews>
    <sheetView workbookViewId="0"/>
  </sheetViews>
  <sheetFormatPr defaultRowHeight="14.5" x14ac:dyDescent="0.3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CFF846-070D-4C77-9FBC-80DBACBF3839}">
  <sheetPr codeName="Sheet5"/>
  <dimension ref="A3:F111"/>
  <sheetViews>
    <sheetView workbookViewId="0">
      <selection activeCell="E19" sqref="E19"/>
    </sheetView>
  </sheetViews>
  <sheetFormatPr defaultRowHeight="14.5" x14ac:dyDescent="0.35"/>
  <cols>
    <col min="1" max="1" width="12.6328125" bestFit="1" customWidth="1"/>
    <col min="2" max="2" width="19.36328125" bestFit="1" customWidth="1"/>
    <col min="3" max="3" width="19.7265625" bestFit="1" customWidth="1"/>
    <col min="4" max="4" width="21.36328125" bestFit="1" customWidth="1"/>
    <col min="5" max="5" width="21" bestFit="1" customWidth="1"/>
    <col min="6" max="6" width="13.453125" bestFit="1" customWidth="1"/>
    <col min="7" max="7" width="19.7265625" bestFit="1" customWidth="1"/>
    <col min="8" max="10" width="11.81640625" bestFit="1" customWidth="1"/>
    <col min="11" max="11" width="10.81640625" bestFit="1" customWidth="1"/>
    <col min="12" max="12" width="21.36328125" bestFit="1" customWidth="1"/>
    <col min="13" max="16" width="11.81640625" bestFit="1" customWidth="1"/>
    <col min="17" max="17" width="21" bestFit="1" customWidth="1"/>
    <col min="18" max="21" width="11.81640625" bestFit="1" customWidth="1"/>
    <col min="22" max="22" width="24.08984375" bestFit="1" customWidth="1"/>
    <col min="23" max="23" width="24.6328125" bestFit="1" customWidth="1"/>
    <col min="24" max="24" width="26.1796875" bestFit="1" customWidth="1"/>
    <col min="25" max="25" width="25.7265625" bestFit="1" customWidth="1"/>
  </cols>
  <sheetData>
    <row r="3" spans="1:6" x14ac:dyDescent="0.35">
      <c r="A3" s="18" t="s">
        <v>575</v>
      </c>
      <c r="B3" s="5" t="s">
        <v>577</v>
      </c>
      <c r="C3" s="5" t="s">
        <v>578</v>
      </c>
      <c r="D3" s="5" t="s">
        <v>579</v>
      </c>
      <c r="E3" s="5" t="s">
        <v>580</v>
      </c>
      <c r="F3" s="5" t="s">
        <v>574</v>
      </c>
    </row>
    <row r="4" spans="1:6" x14ac:dyDescent="0.35">
      <c r="A4" s="19" t="s">
        <v>148</v>
      </c>
      <c r="B4" s="17">
        <v>4.7590000000000003</v>
      </c>
      <c r="C4" s="17">
        <v>200.89099999999999</v>
      </c>
      <c r="D4" s="17">
        <v>0.19642857142857142</v>
      </c>
      <c r="E4" s="17">
        <v>9.3480357142857156E-4</v>
      </c>
      <c r="F4" s="17">
        <v>4</v>
      </c>
    </row>
    <row r="5" spans="1:6" x14ac:dyDescent="0.35">
      <c r="A5" s="19" t="s">
        <v>146</v>
      </c>
      <c r="B5" s="17">
        <v>18.596</v>
      </c>
      <c r="C5" s="17">
        <v>211.65700000000001</v>
      </c>
      <c r="D5" s="17">
        <v>0.2553763440860215</v>
      </c>
      <c r="E5" s="17">
        <v>4.7489784946236563E-3</v>
      </c>
      <c r="F5" s="17">
        <v>4</v>
      </c>
    </row>
    <row r="6" spans="1:6" x14ac:dyDescent="0.35">
      <c r="A6" s="19" t="s">
        <v>161</v>
      </c>
      <c r="B6" s="17">
        <v>6.8230000000000004</v>
      </c>
      <c r="C6" s="17">
        <v>222.47200000000001</v>
      </c>
      <c r="D6" s="17">
        <v>0.24186046511627909</v>
      </c>
      <c r="E6" s="17">
        <v>1.6502139534883724E-3</v>
      </c>
      <c r="F6" s="17">
        <v>4</v>
      </c>
    </row>
    <row r="7" spans="1:6" x14ac:dyDescent="0.35">
      <c r="A7" s="19" t="s">
        <v>163</v>
      </c>
      <c r="B7" s="17">
        <v>5.9790000000000001</v>
      </c>
      <c r="C7" s="17">
        <v>171.09899999999999</v>
      </c>
      <c r="D7" s="17">
        <v>0.18666666666666668</v>
      </c>
      <c r="E7" s="17">
        <v>1.11608E-3</v>
      </c>
      <c r="F7" s="17">
        <v>4</v>
      </c>
    </row>
    <row r="8" spans="1:6" x14ac:dyDescent="0.35">
      <c r="A8" s="19" t="s">
        <v>173</v>
      </c>
      <c r="B8" s="17">
        <v>7.2149999999999999</v>
      </c>
      <c r="C8" s="17">
        <v>222.17599999999999</v>
      </c>
      <c r="D8" s="17">
        <v>0.20967741935483872</v>
      </c>
      <c r="E8" s="17">
        <v>1.5128225806451613E-3</v>
      </c>
      <c r="F8" s="17">
        <v>4</v>
      </c>
    </row>
    <row r="9" spans="1:6" x14ac:dyDescent="0.35">
      <c r="A9" s="19" t="s">
        <v>136</v>
      </c>
      <c r="B9" s="17">
        <v>7.8730000000000002</v>
      </c>
      <c r="C9" s="17">
        <v>0.34726000000000001</v>
      </c>
      <c r="D9" s="17">
        <v>0</v>
      </c>
      <c r="E9" s="17">
        <v>0</v>
      </c>
      <c r="F9" s="17">
        <v>4</v>
      </c>
    </row>
    <row r="10" spans="1:6" x14ac:dyDescent="0.35">
      <c r="A10" s="19" t="s">
        <v>175</v>
      </c>
      <c r="B10" s="17">
        <v>7.1639999999999997</v>
      </c>
      <c r="C10" s="17">
        <v>0.19807</v>
      </c>
      <c r="D10" s="17">
        <v>0.18699186991869921</v>
      </c>
      <c r="E10" s="17">
        <v>1.3396097560975611E-3</v>
      </c>
      <c r="F10" s="17">
        <v>4</v>
      </c>
    </row>
    <row r="11" spans="1:6" x14ac:dyDescent="0.35">
      <c r="A11" s="19" t="s">
        <v>176</v>
      </c>
      <c r="B11" s="17">
        <v>7.1189999999999998</v>
      </c>
      <c r="C11" s="17">
        <v>0.26744000000000001</v>
      </c>
      <c r="D11" s="17">
        <v>0.16935483870967741</v>
      </c>
      <c r="E11" s="17">
        <v>1.2056370967741933E-3</v>
      </c>
      <c r="F11" s="17">
        <v>4</v>
      </c>
    </row>
    <row r="12" spans="1:6" x14ac:dyDescent="0.35">
      <c r="A12" s="19" t="s">
        <v>194</v>
      </c>
      <c r="B12" s="17">
        <v>48.786000000000001</v>
      </c>
      <c r="C12" s="17">
        <v>0.31963999999999998</v>
      </c>
      <c r="D12" s="17">
        <v>0.16016427104722794</v>
      </c>
      <c r="E12" s="17">
        <v>7.8137741273100626E-3</v>
      </c>
      <c r="F12" s="17">
        <v>4</v>
      </c>
    </row>
    <row r="13" spans="1:6" x14ac:dyDescent="0.35">
      <c r="A13" s="19" t="s">
        <v>196</v>
      </c>
      <c r="B13" s="17">
        <v>59.802999999999997</v>
      </c>
      <c r="C13" s="17">
        <v>0.24165999999999999</v>
      </c>
      <c r="D13" s="17">
        <v>0.12252663622526637</v>
      </c>
      <c r="E13" s="17">
        <v>7.3274604261796038E-3</v>
      </c>
      <c r="F13" s="17">
        <v>4</v>
      </c>
    </row>
    <row r="14" spans="1:6" x14ac:dyDescent="0.35">
      <c r="A14" s="19" t="s">
        <v>200</v>
      </c>
      <c r="B14" s="17">
        <v>7.1399999999999996E-3</v>
      </c>
      <c r="C14" s="17">
        <v>201.131</v>
      </c>
      <c r="D14" s="17">
        <v>0.12727272727272726</v>
      </c>
      <c r="E14" s="17">
        <v>9.0872727272727267E-7</v>
      </c>
      <c r="F14" s="17">
        <v>4</v>
      </c>
    </row>
    <row r="15" spans="1:6" x14ac:dyDescent="0.35">
      <c r="A15" s="19" t="s">
        <v>203</v>
      </c>
      <c r="B15" s="17">
        <v>56.698999999999998</v>
      </c>
      <c r="C15" s="17">
        <v>218.416</v>
      </c>
      <c r="D15" s="17">
        <v>0.19002822201317027</v>
      </c>
      <c r="E15" s="17">
        <v>1.0774410159924742E-2</v>
      </c>
      <c r="F15" s="17">
        <v>4</v>
      </c>
    </row>
    <row r="16" spans="1:6" x14ac:dyDescent="0.35">
      <c r="A16" s="19" t="s">
        <v>204</v>
      </c>
      <c r="B16" s="17">
        <v>69.650999999999996</v>
      </c>
      <c r="C16" s="17">
        <v>195.20099999999999</v>
      </c>
      <c r="D16" s="17">
        <v>0.21775147928994085</v>
      </c>
      <c r="E16" s="17">
        <v>1.5166608284023669E-2</v>
      </c>
      <c r="F16" s="17">
        <v>4</v>
      </c>
    </row>
    <row r="17" spans="1:6" x14ac:dyDescent="0.35">
      <c r="A17" s="19" t="s">
        <v>214</v>
      </c>
      <c r="B17" s="17">
        <v>4.6479999999999997</v>
      </c>
      <c r="C17" s="17">
        <v>169.303</v>
      </c>
      <c r="D17" s="17">
        <v>0.16981132075471697</v>
      </c>
      <c r="E17" s="17">
        <v>7.8928301886792437E-4</v>
      </c>
      <c r="F17" s="17">
        <v>4</v>
      </c>
    </row>
    <row r="18" spans="1:6" x14ac:dyDescent="0.35">
      <c r="A18" s="19" t="s">
        <v>224</v>
      </c>
      <c r="B18" s="17">
        <v>7.0880000000000001</v>
      </c>
      <c r="C18" s="17">
        <v>162.114</v>
      </c>
      <c r="D18" s="17">
        <v>0.18120805369127518</v>
      </c>
      <c r="E18" s="17">
        <v>1.2844026845637586E-3</v>
      </c>
      <c r="F18" s="17">
        <v>4</v>
      </c>
    </row>
    <row r="19" spans="1:6" x14ac:dyDescent="0.35">
      <c r="A19" s="19" t="s">
        <v>226</v>
      </c>
      <c r="B19" s="17">
        <v>9.3819999999999997</v>
      </c>
      <c r="C19" s="17">
        <v>227.77799999999999</v>
      </c>
      <c r="D19" s="17">
        <v>0.15384615384615385</v>
      </c>
      <c r="E19" s="17">
        <v>1.4433846153846155E-3</v>
      </c>
      <c r="F19" s="17">
        <v>4</v>
      </c>
    </row>
    <row r="20" spans="1:6" x14ac:dyDescent="0.35">
      <c r="A20" s="19" t="s">
        <v>241</v>
      </c>
      <c r="B20" s="17">
        <v>5.3550000000000004</v>
      </c>
      <c r="C20" s="17">
        <v>201.12899999999999</v>
      </c>
      <c r="D20" s="17">
        <v>3.7499999999999999E-2</v>
      </c>
      <c r="E20" s="17">
        <v>2.0081250000000001E-4</v>
      </c>
      <c r="F20" s="17">
        <v>4</v>
      </c>
    </row>
    <row r="21" spans="1:6" x14ac:dyDescent="0.35">
      <c r="A21" s="19" t="s">
        <v>242</v>
      </c>
      <c r="B21" s="17">
        <v>6.9349999999999996</v>
      </c>
      <c r="C21" s="17">
        <v>140.297</v>
      </c>
      <c r="D21" s="17">
        <v>0.25257731958762886</v>
      </c>
      <c r="E21" s="17">
        <v>1.751623711340206E-3</v>
      </c>
      <c r="F21" s="17">
        <v>4</v>
      </c>
    </row>
    <row r="22" spans="1:6" x14ac:dyDescent="0.35">
      <c r="A22" s="19" t="s">
        <v>243</v>
      </c>
      <c r="B22" s="17">
        <v>7.1459999999999999</v>
      </c>
      <c r="C22" s="17">
        <v>0.29149999999999998</v>
      </c>
      <c r="D22" s="17">
        <v>0.06</v>
      </c>
      <c r="E22" s="17">
        <v>4.2875999999999998E-4</v>
      </c>
      <c r="F22" s="17">
        <v>4</v>
      </c>
    </row>
    <row r="23" spans="1:6" x14ac:dyDescent="0.35">
      <c r="A23" s="19" t="s">
        <v>246</v>
      </c>
      <c r="B23" s="17">
        <v>6.726</v>
      </c>
      <c r="C23" s="17">
        <v>217.077</v>
      </c>
      <c r="D23" s="17">
        <v>0.14545454545454545</v>
      </c>
      <c r="E23" s="17">
        <v>9.7832727272727281E-4</v>
      </c>
      <c r="F23" s="17">
        <v>4</v>
      </c>
    </row>
    <row r="24" spans="1:6" x14ac:dyDescent="0.35">
      <c r="A24" s="19" t="s">
        <v>249</v>
      </c>
      <c r="B24" s="17">
        <v>24.236000000000001</v>
      </c>
      <c r="C24" s="17">
        <v>0.30867</v>
      </c>
      <c r="D24" s="17">
        <v>0.18202764976958527</v>
      </c>
      <c r="E24" s="17">
        <v>4.4116221198156691E-3</v>
      </c>
      <c r="F24" s="17">
        <v>4</v>
      </c>
    </row>
    <row r="25" spans="1:6" x14ac:dyDescent="0.35">
      <c r="A25" s="19" t="s">
        <v>250</v>
      </c>
      <c r="B25" s="17">
        <v>60.256</v>
      </c>
      <c r="C25" s="17">
        <v>188.11500000000001</v>
      </c>
      <c r="D25" s="17">
        <v>0.23474178403755869</v>
      </c>
      <c r="E25" s="17">
        <v>1.4144600938967135E-2</v>
      </c>
      <c r="F25" s="17">
        <v>4</v>
      </c>
    </row>
    <row r="26" spans="1:6" x14ac:dyDescent="0.35">
      <c r="A26" s="19" t="s">
        <v>253</v>
      </c>
      <c r="B26" s="17">
        <v>76.088999999999999</v>
      </c>
      <c r="C26" s="17">
        <v>200.595</v>
      </c>
      <c r="D26" s="17">
        <v>0.189556135770235</v>
      </c>
      <c r="E26" s="17">
        <v>1.4423136814621412E-2</v>
      </c>
      <c r="F26" s="17">
        <v>4</v>
      </c>
    </row>
    <row r="27" spans="1:6" x14ac:dyDescent="0.35">
      <c r="A27" s="19" t="s">
        <v>254</v>
      </c>
      <c r="B27" s="17">
        <v>37.652000000000001</v>
      </c>
      <c r="C27" s="17">
        <v>0.16262000000000001</v>
      </c>
      <c r="D27" s="17">
        <v>0.23852183650615902</v>
      </c>
      <c r="E27" s="17">
        <v>8.9808241881298989E-3</v>
      </c>
      <c r="F27" s="17">
        <v>4</v>
      </c>
    </row>
    <row r="28" spans="1:6" x14ac:dyDescent="0.35">
      <c r="A28" s="19" t="s">
        <v>116</v>
      </c>
      <c r="B28" s="17">
        <v>3.0070000000000001</v>
      </c>
      <c r="C28" s="17">
        <v>228.81100000000001</v>
      </c>
      <c r="D28" s="17">
        <v>0.13043478260869565</v>
      </c>
      <c r="E28" s="17">
        <v>3.9221739130434785E-4</v>
      </c>
      <c r="F28" s="17">
        <v>4</v>
      </c>
    </row>
    <row r="29" spans="1:6" x14ac:dyDescent="0.35">
      <c r="A29" s="19" t="s">
        <v>260</v>
      </c>
      <c r="B29" s="17">
        <v>49.087000000000003</v>
      </c>
      <c r="C29" s="17">
        <v>231.81299999999999</v>
      </c>
      <c r="D29" s="17">
        <v>0.20907297830374752</v>
      </c>
      <c r="E29" s="17">
        <v>1.0262765285996055E-2</v>
      </c>
      <c r="F29" s="17">
        <v>4</v>
      </c>
    </row>
    <row r="30" spans="1:6" x14ac:dyDescent="0.35">
      <c r="A30" s="19" t="s">
        <v>263</v>
      </c>
      <c r="B30" s="17">
        <v>4.1150000000000002</v>
      </c>
      <c r="C30" s="17">
        <v>187.839</v>
      </c>
      <c r="D30" s="17">
        <v>0.16867469879518074</v>
      </c>
      <c r="E30" s="17">
        <v>6.9409638554216878E-4</v>
      </c>
      <c r="F30" s="17">
        <v>4</v>
      </c>
    </row>
    <row r="31" spans="1:6" x14ac:dyDescent="0.35">
      <c r="A31" s="19" t="s">
        <v>270</v>
      </c>
      <c r="B31" s="17">
        <v>36.155999999999999</v>
      </c>
      <c r="C31" s="17">
        <v>0.29619000000000001</v>
      </c>
      <c r="D31" s="17">
        <v>0.1879815100154083</v>
      </c>
      <c r="E31" s="17">
        <v>6.7966594761171024E-3</v>
      </c>
      <c r="F31" s="17">
        <v>4</v>
      </c>
    </row>
    <row r="32" spans="1:6" x14ac:dyDescent="0.35">
      <c r="A32" s="19" t="s">
        <v>274</v>
      </c>
      <c r="B32" s="17">
        <v>58.037999999999997</v>
      </c>
      <c r="C32" s="17">
        <v>231.399</v>
      </c>
      <c r="D32" s="17">
        <v>0.16122004357298478</v>
      </c>
      <c r="E32" s="17">
        <v>9.3568888888888885E-3</v>
      </c>
      <c r="F32" s="17">
        <v>4</v>
      </c>
    </row>
    <row r="33" spans="1:6" x14ac:dyDescent="0.35">
      <c r="A33" s="19" t="s">
        <v>106</v>
      </c>
      <c r="B33" s="17">
        <v>7.1500000000000001E-3</v>
      </c>
      <c r="C33" s="17">
        <v>200.14599999999999</v>
      </c>
      <c r="D33" s="17">
        <v>0.2445141065830721</v>
      </c>
      <c r="E33" s="17">
        <v>1.7482758620689656E-6</v>
      </c>
      <c r="F33" s="17">
        <v>4</v>
      </c>
    </row>
    <row r="34" spans="1:6" x14ac:dyDescent="0.35">
      <c r="A34" s="19" t="s">
        <v>291</v>
      </c>
      <c r="B34" s="17">
        <v>2.7899999999999999E-3</v>
      </c>
      <c r="C34" s="17">
        <v>112.89400000000001</v>
      </c>
      <c r="D34" s="17">
        <v>0.25</v>
      </c>
      <c r="E34" s="17">
        <v>6.9749999999999999E-7</v>
      </c>
      <c r="F34" s="17">
        <v>4</v>
      </c>
    </row>
    <row r="35" spans="1:6" x14ac:dyDescent="0.35">
      <c r="A35" s="19" t="s">
        <v>95</v>
      </c>
      <c r="B35" s="17">
        <v>21.366</v>
      </c>
      <c r="C35" s="17">
        <v>202.328</v>
      </c>
      <c r="D35" s="17">
        <v>0.1371308016877637</v>
      </c>
      <c r="E35" s="17">
        <v>2.9299367088607589E-3</v>
      </c>
      <c r="F35" s="17">
        <v>4</v>
      </c>
    </row>
    <row r="36" spans="1:6" x14ac:dyDescent="0.35">
      <c r="A36" s="19" t="s">
        <v>94</v>
      </c>
      <c r="B36" s="17">
        <v>22.634</v>
      </c>
      <c r="C36" s="17">
        <v>208.535</v>
      </c>
      <c r="D36" s="17">
        <v>0.22</v>
      </c>
      <c r="E36" s="17">
        <v>4.9794799999999997E-3</v>
      </c>
      <c r="F36" s="17">
        <v>4</v>
      </c>
    </row>
    <row r="37" spans="1:6" x14ac:dyDescent="0.35">
      <c r="A37" s="19" t="s">
        <v>308</v>
      </c>
      <c r="B37" s="17">
        <v>69.582999999999998</v>
      </c>
      <c r="C37" s="17">
        <v>192.15899999999999</v>
      </c>
      <c r="D37" s="17">
        <v>0.18097281831187409</v>
      </c>
      <c r="E37" s="17">
        <v>1.2592631616595134E-2</v>
      </c>
      <c r="F37" s="17">
        <v>4</v>
      </c>
    </row>
    <row r="38" spans="1:6" x14ac:dyDescent="0.35">
      <c r="A38" s="19" t="s">
        <v>314</v>
      </c>
      <c r="B38" s="17">
        <v>25.062999999999999</v>
      </c>
      <c r="C38" s="17">
        <v>223.19800000000001</v>
      </c>
      <c r="D38" s="17">
        <v>0.14382022471910111</v>
      </c>
      <c r="E38" s="17">
        <v>3.6045662921348307E-3</v>
      </c>
      <c r="F38" s="17">
        <v>4</v>
      </c>
    </row>
    <row r="39" spans="1:6" x14ac:dyDescent="0.35">
      <c r="A39" s="19" t="s">
        <v>316</v>
      </c>
      <c r="B39" s="17">
        <v>56.661000000000001</v>
      </c>
      <c r="C39" s="17">
        <v>206.155</v>
      </c>
      <c r="D39" s="17">
        <v>0.13033359193173003</v>
      </c>
      <c r="E39" s="17">
        <v>7.384831652443755E-3</v>
      </c>
      <c r="F39" s="17">
        <v>4</v>
      </c>
    </row>
    <row r="40" spans="1:6" x14ac:dyDescent="0.35">
      <c r="A40" s="19" t="s">
        <v>323</v>
      </c>
      <c r="B40" s="17">
        <v>10.170999999999999</v>
      </c>
      <c r="C40" s="17">
        <v>187.893</v>
      </c>
      <c r="D40" s="17">
        <v>0.19642857142857145</v>
      </c>
      <c r="E40" s="17">
        <v>1.9978750000000001E-3</v>
      </c>
      <c r="F40" s="17">
        <v>4</v>
      </c>
    </row>
    <row r="41" spans="1:6" x14ac:dyDescent="0.35">
      <c r="A41" s="19" t="s">
        <v>325</v>
      </c>
      <c r="B41" s="17">
        <v>9.1989999999999998</v>
      </c>
      <c r="C41" s="17">
        <v>171.75700000000001</v>
      </c>
      <c r="D41" s="17">
        <v>0.24</v>
      </c>
      <c r="E41" s="17">
        <v>2.20776E-3</v>
      </c>
      <c r="F41" s="17">
        <v>4</v>
      </c>
    </row>
    <row r="42" spans="1:6" x14ac:dyDescent="0.35">
      <c r="A42" s="19" t="s">
        <v>327</v>
      </c>
      <c r="B42" s="17">
        <v>80.263000000000005</v>
      </c>
      <c r="C42" s="17">
        <v>0.26589999999999997</v>
      </c>
      <c r="D42" s="17">
        <v>0.15361890694239291</v>
      </c>
      <c r="E42" s="17">
        <v>1.2329914327917283E-2</v>
      </c>
      <c r="F42" s="17">
        <v>4</v>
      </c>
    </row>
    <row r="43" spans="1:6" x14ac:dyDescent="0.35">
      <c r="A43" s="19" t="s">
        <v>84</v>
      </c>
      <c r="B43" s="17">
        <v>9.6059999999999999</v>
      </c>
      <c r="C43" s="17">
        <v>232.553</v>
      </c>
      <c r="D43" s="17">
        <v>0.2076502732240437</v>
      </c>
      <c r="E43" s="17">
        <v>1.9946885245901639E-3</v>
      </c>
      <c r="F43" s="17">
        <v>4</v>
      </c>
    </row>
    <row r="44" spans="1:6" x14ac:dyDescent="0.35">
      <c r="A44" s="19" t="s">
        <v>333</v>
      </c>
      <c r="B44" s="17">
        <v>22.285</v>
      </c>
      <c r="C44" s="17">
        <v>210.09399999999999</v>
      </c>
      <c r="D44" s="17">
        <v>0.25</v>
      </c>
      <c r="E44" s="17">
        <v>5.5712499999999998E-3</v>
      </c>
      <c r="F44" s="17">
        <v>4</v>
      </c>
    </row>
    <row r="45" spans="1:6" x14ac:dyDescent="0.35">
      <c r="A45" s="19" t="s">
        <v>81</v>
      </c>
      <c r="B45" s="17">
        <v>4.758</v>
      </c>
      <c r="C45" s="17">
        <v>159.72900000000001</v>
      </c>
      <c r="D45" s="17">
        <v>0.20567375886524822</v>
      </c>
      <c r="E45" s="17">
        <v>9.7859574468085091E-4</v>
      </c>
      <c r="F45" s="17">
        <v>4</v>
      </c>
    </row>
    <row r="46" spans="1:6" x14ac:dyDescent="0.35">
      <c r="A46" s="19" t="s">
        <v>78</v>
      </c>
      <c r="B46" s="17">
        <v>2.9169999999999998</v>
      </c>
      <c r="C46" s="17">
        <v>223.858</v>
      </c>
      <c r="D46" s="17">
        <v>0.125</v>
      </c>
      <c r="E46" s="17">
        <v>3.6462499999999999E-4</v>
      </c>
      <c r="F46" s="17">
        <v>4</v>
      </c>
    </row>
    <row r="47" spans="1:6" x14ac:dyDescent="0.35">
      <c r="A47" s="19" t="s">
        <v>76</v>
      </c>
      <c r="B47" s="17">
        <v>36.896000000000001</v>
      </c>
      <c r="C47" s="17">
        <v>225.149</v>
      </c>
      <c r="D47" s="17">
        <v>0.14119922630560927</v>
      </c>
      <c r="E47" s="17">
        <v>5.2096866537717596E-3</v>
      </c>
      <c r="F47" s="17">
        <v>4</v>
      </c>
    </row>
    <row r="48" spans="1:6" x14ac:dyDescent="0.35">
      <c r="A48" s="19" t="s">
        <v>337</v>
      </c>
      <c r="B48" s="17">
        <v>3.039E-2</v>
      </c>
      <c r="C48" s="17">
        <v>0.28437000000000001</v>
      </c>
      <c r="D48" s="17">
        <v>0.17871485943775098</v>
      </c>
      <c r="E48" s="17">
        <v>5.4311445783132524E-6</v>
      </c>
      <c r="F48" s="17">
        <v>4</v>
      </c>
    </row>
    <row r="49" spans="1:6" x14ac:dyDescent="0.35">
      <c r="A49" s="19" t="s">
        <v>344</v>
      </c>
      <c r="B49" s="17">
        <v>68.558000000000007</v>
      </c>
      <c r="C49" s="17">
        <v>217.68299999999999</v>
      </c>
      <c r="D49" s="17">
        <v>0.16677874915938132</v>
      </c>
      <c r="E49" s="17">
        <v>1.1434017484868865E-2</v>
      </c>
      <c r="F49" s="17">
        <v>4</v>
      </c>
    </row>
    <row r="50" spans="1:6" x14ac:dyDescent="0.35">
      <c r="A50" s="19" t="s">
        <v>350</v>
      </c>
      <c r="B50" s="17">
        <v>35.000999999999998</v>
      </c>
      <c r="C50" s="17">
        <v>0.30725000000000002</v>
      </c>
      <c r="D50" s="17">
        <v>0.23529411764705885</v>
      </c>
      <c r="E50" s="17">
        <v>8.2355294117647058E-3</v>
      </c>
      <c r="F50" s="17">
        <v>4</v>
      </c>
    </row>
    <row r="51" spans="1:6" x14ac:dyDescent="0.35">
      <c r="A51" s="19" t="s">
        <v>351</v>
      </c>
      <c r="B51" s="17">
        <v>23.466000000000001</v>
      </c>
      <c r="C51" s="17">
        <v>0.26524000000000003</v>
      </c>
      <c r="D51" s="17">
        <v>0.15398886827458255</v>
      </c>
      <c r="E51" s="17">
        <v>3.6135027829313545E-3</v>
      </c>
      <c r="F51" s="17">
        <v>4</v>
      </c>
    </row>
    <row r="52" spans="1:6" x14ac:dyDescent="0.35">
      <c r="A52" s="19" t="s">
        <v>364</v>
      </c>
      <c r="B52" s="17">
        <v>5.2119999999999997</v>
      </c>
      <c r="C52" s="17">
        <v>203.751</v>
      </c>
      <c r="D52" s="17">
        <v>0.15053763440860216</v>
      </c>
      <c r="E52" s="17">
        <v>7.8460215053763435E-4</v>
      </c>
      <c r="F52" s="17">
        <v>4</v>
      </c>
    </row>
    <row r="53" spans="1:6" x14ac:dyDescent="0.35">
      <c r="A53" s="19" t="s">
        <v>365</v>
      </c>
      <c r="B53" s="17">
        <v>60.064999999999998</v>
      </c>
      <c r="C53" s="17">
        <v>228.56899999999999</v>
      </c>
      <c r="D53" s="17">
        <v>0.15184563758389263</v>
      </c>
      <c r="E53" s="17">
        <v>9.1206082214765113E-3</v>
      </c>
      <c r="F53" s="17">
        <v>4</v>
      </c>
    </row>
    <row r="54" spans="1:6" x14ac:dyDescent="0.35">
      <c r="A54" s="19" t="s">
        <v>368</v>
      </c>
      <c r="B54" s="17">
        <v>6.2329999999999997</v>
      </c>
      <c r="C54" s="17">
        <v>154.029</v>
      </c>
      <c r="D54" s="17">
        <v>0.19393939393939397</v>
      </c>
      <c r="E54" s="17">
        <v>1.2088242424242426E-3</v>
      </c>
      <c r="F54" s="17">
        <v>4</v>
      </c>
    </row>
    <row r="55" spans="1:6" x14ac:dyDescent="0.35">
      <c r="A55" s="19" t="s">
        <v>369</v>
      </c>
      <c r="B55" s="17">
        <v>2.895</v>
      </c>
      <c r="C55" s="17">
        <v>157.512</v>
      </c>
      <c r="D55" s="17">
        <v>0.12857142857142859</v>
      </c>
      <c r="E55" s="17">
        <v>3.7221428571428578E-4</v>
      </c>
      <c r="F55" s="17">
        <v>4</v>
      </c>
    </row>
    <row r="56" spans="1:6" x14ac:dyDescent="0.35">
      <c r="A56" s="19" t="s">
        <v>373</v>
      </c>
      <c r="B56" s="17">
        <v>7.1180000000000003</v>
      </c>
      <c r="C56" s="17">
        <v>194.846</v>
      </c>
      <c r="D56" s="17">
        <v>0.24817518248175183</v>
      </c>
      <c r="E56" s="17">
        <v>1.7665109489051097E-3</v>
      </c>
      <c r="F56" s="17">
        <v>4</v>
      </c>
    </row>
    <row r="57" spans="1:6" x14ac:dyDescent="0.35">
      <c r="A57" s="19" t="s">
        <v>375</v>
      </c>
      <c r="B57" s="17">
        <v>72.863</v>
      </c>
      <c r="C57" s="17">
        <v>0.19913999999999998</v>
      </c>
      <c r="D57" s="17">
        <v>0.21641791044776115</v>
      </c>
      <c r="E57" s="17">
        <v>1.5768858208955221E-2</v>
      </c>
      <c r="F57" s="17">
        <v>4</v>
      </c>
    </row>
    <row r="58" spans="1:6" x14ac:dyDescent="0.35">
      <c r="A58" s="19" t="s">
        <v>376</v>
      </c>
      <c r="B58" s="17">
        <v>7.0869999999999997</v>
      </c>
      <c r="C58" s="17">
        <v>207.71600000000001</v>
      </c>
      <c r="D58" s="17">
        <v>0.18750000000000003</v>
      </c>
      <c r="E58" s="17">
        <v>1.3288125000000001E-3</v>
      </c>
      <c r="F58" s="17">
        <v>4</v>
      </c>
    </row>
    <row r="59" spans="1:6" x14ac:dyDescent="0.35">
      <c r="A59" s="19" t="s">
        <v>378</v>
      </c>
      <c r="B59" s="17">
        <v>58.563000000000002</v>
      </c>
      <c r="C59" s="17">
        <v>0.23812</v>
      </c>
      <c r="D59" s="17">
        <v>0.19317356572258534</v>
      </c>
      <c r="E59" s="17">
        <v>1.1312823529411766E-2</v>
      </c>
      <c r="F59" s="17">
        <v>4</v>
      </c>
    </row>
    <row r="60" spans="1:6" x14ac:dyDescent="0.35">
      <c r="A60" s="19" t="s">
        <v>380</v>
      </c>
      <c r="B60" s="17">
        <v>76.673000000000002</v>
      </c>
      <c r="C60" s="17">
        <v>220.363</v>
      </c>
      <c r="D60" s="17">
        <v>0.19020501138952164</v>
      </c>
      <c r="E60" s="17">
        <v>1.4583588838268794E-2</v>
      </c>
      <c r="F60" s="17">
        <v>4</v>
      </c>
    </row>
    <row r="61" spans="1:6" x14ac:dyDescent="0.35">
      <c r="A61" s="19" t="s">
        <v>52</v>
      </c>
      <c r="B61" s="17">
        <v>16.033000000000001</v>
      </c>
      <c r="C61" s="17">
        <v>220.55099999999999</v>
      </c>
      <c r="D61" s="17">
        <v>0</v>
      </c>
      <c r="E61" s="17">
        <v>0</v>
      </c>
      <c r="F61" s="17">
        <v>4</v>
      </c>
    </row>
    <row r="62" spans="1:6" x14ac:dyDescent="0.35">
      <c r="A62" s="19" t="s">
        <v>389</v>
      </c>
      <c r="B62" s="17">
        <v>5.4169999999999998</v>
      </c>
      <c r="C62" s="17">
        <v>165.40299999999999</v>
      </c>
      <c r="D62" s="17">
        <v>9.8360655737704916E-2</v>
      </c>
      <c r="E62" s="17">
        <v>5.3281967213114753E-4</v>
      </c>
      <c r="F62" s="17">
        <v>4</v>
      </c>
    </row>
    <row r="63" spans="1:6" x14ac:dyDescent="0.35">
      <c r="A63" s="19" t="s">
        <v>391</v>
      </c>
      <c r="B63" s="17">
        <v>3.6930000000000001</v>
      </c>
      <c r="C63" s="17">
        <v>222.57599999999999</v>
      </c>
      <c r="D63" s="17">
        <v>0</v>
      </c>
      <c r="E63" s="17">
        <v>0</v>
      </c>
      <c r="F63" s="17">
        <v>4</v>
      </c>
    </row>
    <row r="64" spans="1:6" x14ac:dyDescent="0.35">
      <c r="A64" s="19" t="s">
        <v>392</v>
      </c>
      <c r="B64" s="17">
        <v>2.548</v>
      </c>
      <c r="C64" s="17">
        <v>0.27627999999999997</v>
      </c>
      <c r="D64" s="17">
        <v>0.17777777777777778</v>
      </c>
      <c r="E64" s="17">
        <v>4.5297777777777781E-4</v>
      </c>
      <c r="F64" s="17">
        <v>4</v>
      </c>
    </row>
    <row r="65" spans="1:6" x14ac:dyDescent="0.35">
      <c r="A65" s="19" t="s">
        <v>393</v>
      </c>
      <c r="B65" s="17">
        <v>12.462</v>
      </c>
      <c r="C65" s="17">
        <v>237.52500000000001</v>
      </c>
      <c r="D65" s="17">
        <v>0.1086261980830671</v>
      </c>
      <c r="E65" s="17">
        <v>1.3536996805111822E-3</v>
      </c>
      <c r="F65" s="17">
        <v>4</v>
      </c>
    </row>
    <row r="66" spans="1:6" x14ac:dyDescent="0.35">
      <c r="A66" s="19" t="s">
        <v>398</v>
      </c>
      <c r="B66" s="17">
        <v>37.009</v>
      </c>
      <c r="C66" s="17">
        <v>0.29285</v>
      </c>
      <c r="D66" s="17">
        <v>0.14992503748125938</v>
      </c>
      <c r="E66" s="17">
        <v>5.5485757121439281E-3</v>
      </c>
      <c r="F66" s="17">
        <v>4</v>
      </c>
    </row>
    <row r="67" spans="1:6" x14ac:dyDescent="0.35">
      <c r="A67" s="19" t="s">
        <v>399</v>
      </c>
      <c r="B67" s="17">
        <v>10.036</v>
      </c>
      <c r="C67" s="17">
        <v>194.49100000000001</v>
      </c>
      <c r="D67" s="17">
        <v>0.2</v>
      </c>
      <c r="E67" s="17">
        <v>2.0072000000000002E-3</v>
      </c>
      <c r="F67" s="17">
        <v>4</v>
      </c>
    </row>
    <row r="68" spans="1:6" x14ac:dyDescent="0.35">
      <c r="A68" s="19" t="s">
        <v>400</v>
      </c>
      <c r="B68" s="17">
        <v>54.177999999999997</v>
      </c>
      <c r="C68" s="17">
        <v>194.93100000000001</v>
      </c>
      <c r="D68" s="17">
        <v>0.24479889042995837</v>
      </c>
      <c r="E68" s="17">
        <v>1.3262714285714284E-2</v>
      </c>
      <c r="F68" s="17">
        <v>4</v>
      </c>
    </row>
    <row r="69" spans="1:6" x14ac:dyDescent="0.35">
      <c r="A69" s="19" t="s">
        <v>408</v>
      </c>
      <c r="B69" s="17">
        <v>79.099000000000004</v>
      </c>
      <c r="C69" s="17">
        <v>0.25458000000000003</v>
      </c>
      <c r="D69" s="17">
        <v>0.22784810126582278</v>
      </c>
      <c r="E69" s="17">
        <v>1.8022556962025316E-2</v>
      </c>
      <c r="F69" s="17">
        <v>4</v>
      </c>
    </row>
    <row r="70" spans="1:6" x14ac:dyDescent="0.35">
      <c r="A70" s="19" t="s">
        <v>409</v>
      </c>
      <c r="B70" s="17">
        <v>16.233000000000001</v>
      </c>
      <c r="C70" s="17">
        <v>232.922</v>
      </c>
      <c r="D70" s="17">
        <v>0.11333333333333334</v>
      </c>
      <c r="E70" s="17">
        <v>1.8397400000000001E-3</v>
      </c>
      <c r="F70" s="17">
        <v>4</v>
      </c>
    </row>
    <row r="71" spans="1:6" x14ac:dyDescent="0.35">
      <c r="A71" s="19" t="s">
        <v>410</v>
      </c>
      <c r="B71" s="17">
        <v>6.7290000000000001</v>
      </c>
      <c r="C71" s="17">
        <v>157.22800000000001</v>
      </c>
      <c r="D71" s="17">
        <v>0.19678714859437749</v>
      </c>
      <c r="E71" s="17">
        <v>1.3241807228915662E-3</v>
      </c>
      <c r="F71" s="17">
        <v>4</v>
      </c>
    </row>
    <row r="72" spans="1:6" x14ac:dyDescent="0.35">
      <c r="A72" s="19" t="s">
        <v>414</v>
      </c>
      <c r="B72" s="17">
        <v>54.284999999999997</v>
      </c>
      <c r="C72" s="17">
        <v>0.36380000000000001</v>
      </c>
      <c r="D72" s="17">
        <v>0.18297101449275363</v>
      </c>
      <c r="E72" s="17">
        <v>9.9325815217391304E-3</v>
      </c>
      <c r="F72" s="17">
        <v>4</v>
      </c>
    </row>
    <row r="73" spans="1:6" x14ac:dyDescent="0.35">
      <c r="A73" s="19" t="s">
        <v>45</v>
      </c>
      <c r="B73" s="17">
        <v>19.053000000000001</v>
      </c>
      <c r="C73" s="17">
        <v>213.458</v>
      </c>
      <c r="D73" s="17">
        <v>0.24448897795591182</v>
      </c>
      <c r="E73" s="17">
        <v>4.6582484969939879E-3</v>
      </c>
      <c r="F73" s="17">
        <v>4</v>
      </c>
    </row>
    <row r="74" spans="1:6" x14ac:dyDescent="0.35">
      <c r="A74" s="19" t="s">
        <v>420</v>
      </c>
      <c r="B74" s="17">
        <v>2.742</v>
      </c>
      <c r="C74" s="17">
        <v>121.07299999999999</v>
      </c>
      <c r="D74" s="17">
        <v>0</v>
      </c>
      <c r="E74" s="17">
        <v>0</v>
      </c>
      <c r="F74" s="17">
        <v>4</v>
      </c>
    </row>
    <row r="75" spans="1:6" x14ac:dyDescent="0.35">
      <c r="A75" s="19" t="s">
        <v>423</v>
      </c>
      <c r="B75" s="17">
        <v>7.1829999999999998</v>
      </c>
      <c r="C75" s="17">
        <v>173.18799999999999</v>
      </c>
      <c r="D75" s="17">
        <v>0.25301204819277107</v>
      </c>
      <c r="E75" s="17">
        <v>1.8173855421686745E-3</v>
      </c>
      <c r="F75" s="17">
        <v>4</v>
      </c>
    </row>
    <row r="76" spans="1:6" x14ac:dyDescent="0.35">
      <c r="A76" s="19" t="s">
        <v>424</v>
      </c>
      <c r="B76" s="17">
        <v>42.125</v>
      </c>
      <c r="C76" s="17">
        <v>0.22941</v>
      </c>
      <c r="D76" s="17">
        <v>0.25168236877523553</v>
      </c>
      <c r="E76" s="17">
        <v>1.0602119784656796E-2</v>
      </c>
      <c r="F76" s="17">
        <v>4</v>
      </c>
    </row>
    <row r="77" spans="1:6" x14ac:dyDescent="0.35">
      <c r="A77" s="19" t="s">
        <v>425</v>
      </c>
      <c r="B77" s="17">
        <v>2.7370000000000001</v>
      </c>
      <c r="C77" s="17">
        <v>166.607</v>
      </c>
      <c r="D77" s="17">
        <v>0.12195121951219513</v>
      </c>
      <c r="E77" s="17">
        <v>3.3378048780487808E-4</v>
      </c>
      <c r="F77" s="17">
        <v>4</v>
      </c>
    </row>
    <row r="78" spans="1:6" x14ac:dyDescent="0.35">
      <c r="A78" s="19" t="s">
        <v>33</v>
      </c>
      <c r="B78" s="17">
        <v>2.6800000000000001E-3</v>
      </c>
      <c r="C78" s="17">
        <v>167.56800000000001</v>
      </c>
      <c r="D78" s="17">
        <v>0.14814814814814814</v>
      </c>
      <c r="E78" s="17">
        <v>3.9703703703703706E-7</v>
      </c>
      <c r="F78" s="17">
        <v>4</v>
      </c>
    </row>
    <row r="79" spans="1:6" x14ac:dyDescent="0.35">
      <c r="A79" s="19" t="s">
        <v>434</v>
      </c>
      <c r="B79" s="17">
        <v>1.0150000000000001E-2</v>
      </c>
      <c r="C79" s="17">
        <v>212.715</v>
      </c>
      <c r="D79" s="17">
        <v>1.6216216216216214E-2</v>
      </c>
      <c r="E79" s="17">
        <v>1.6459459459459459E-7</v>
      </c>
      <c r="F79" s="17">
        <v>4</v>
      </c>
    </row>
    <row r="80" spans="1:6" x14ac:dyDescent="0.35">
      <c r="A80" s="19" t="s">
        <v>436</v>
      </c>
      <c r="B80" s="17">
        <v>5.1289999999999996</v>
      </c>
      <c r="C80" s="17">
        <v>191.852</v>
      </c>
      <c r="D80" s="17">
        <v>0.12962962962962962</v>
      </c>
      <c r="E80" s="17">
        <v>6.6487037037037025E-4</v>
      </c>
      <c r="F80" s="17">
        <v>4</v>
      </c>
    </row>
    <row r="81" spans="1:6" x14ac:dyDescent="0.35">
      <c r="A81" s="19" t="s">
        <v>31</v>
      </c>
      <c r="B81" s="17">
        <v>22.372</v>
      </c>
      <c r="C81" s="17">
        <v>0.27297000000000005</v>
      </c>
      <c r="D81" s="17">
        <v>0.17520215633423181</v>
      </c>
      <c r="E81" s="17">
        <v>3.9196226415094343E-3</v>
      </c>
      <c r="F81" s="17">
        <v>4</v>
      </c>
    </row>
    <row r="82" spans="1:6" x14ac:dyDescent="0.35">
      <c r="A82" s="19" t="s">
        <v>439</v>
      </c>
      <c r="B82" s="17">
        <v>2.6339999999999999</v>
      </c>
      <c r="C82" s="17">
        <v>156.773</v>
      </c>
      <c r="D82" s="17">
        <v>0</v>
      </c>
      <c r="E82" s="17">
        <v>0</v>
      </c>
      <c r="F82" s="17">
        <v>4</v>
      </c>
    </row>
    <row r="83" spans="1:6" x14ac:dyDescent="0.35">
      <c r="A83" s="19" t="s">
        <v>442</v>
      </c>
      <c r="B83" s="17">
        <v>19.753</v>
      </c>
      <c r="C83" s="17">
        <v>218.55199999999999</v>
      </c>
      <c r="D83" s="17">
        <v>0.10687022900763359</v>
      </c>
      <c r="E83" s="17">
        <v>2.1110076335877862E-3</v>
      </c>
      <c r="F83" s="17">
        <v>4</v>
      </c>
    </row>
    <row r="84" spans="1:6" x14ac:dyDescent="0.35">
      <c r="A84" s="19" t="s">
        <v>29</v>
      </c>
      <c r="B84" s="17">
        <v>38.956000000000003</v>
      </c>
      <c r="C84" s="17">
        <v>0.22836000000000001</v>
      </c>
      <c r="D84" s="17">
        <v>0.21861777150916786</v>
      </c>
      <c r="E84" s="17">
        <v>8.5164739069111452E-3</v>
      </c>
      <c r="F84" s="17">
        <v>4</v>
      </c>
    </row>
    <row r="85" spans="1:6" x14ac:dyDescent="0.35">
      <c r="A85" s="19" t="s">
        <v>27</v>
      </c>
      <c r="B85" s="17">
        <v>37.518999999999998</v>
      </c>
      <c r="C85" s="17">
        <v>0.35133999999999999</v>
      </c>
      <c r="D85" s="17">
        <v>9.1472868217054262E-2</v>
      </c>
      <c r="E85" s="17">
        <v>3.431970542635659E-3</v>
      </c>
      <c r="F85" s="17">
        <v>4</v>
      </c>
    </row>
    <row r="86" spans="1:6" x14ac:dyDescent="0.35">
      <c r="A86" s="19" t="s">
        <v>448</v>
      </c>
      <c r="B86" s="17">
        <v>4.6580000000000004</v>
      </c>
      <c r="C86" s="17">
        <v>156.499</v>
      </c>
      <c r="D86" s="17">
        <v>0.20408163265306123</v>
      </c>
      <c r="E86" s="17">
        <v>9.5061224489795921E-4</v>
      </c>
      <c r="F86" s="17">
        <v>4</v>
      </c>
    </row>
    <row r="87" spans="1:6" x14ac:dyDescent="0.35">
      <c r="A87" s="19" t="s">
        <v>453</v>
      </c>
      <c r="B87" s="17">
        <v>5.2359999999999997E-2</v>
      </c>
      <c r="C87" s="17">
        <v>0.22134999999999999</v>
      </c>
      <c r="D87" s="17">
        <v>0.14457831325301207</v>
      </c>
      <c r="E87" s="17">
        <v>7.5701204819277118E-6</v>
      </c>
      <c r="F87" s="17">
        <v>4</v>
      </c>
    </row>
    <row r="88" spans="1:6" x14ac:dyDescent="0.35">
      <c r="A88" s="19" t="s">
        <v>455</v>
      </c>
      <c r="B88" s="17">
        <v>2.6160000000000001</v>
      </c>
      <c r="C88" s="17">
        <v>0.33829000000000004</v>
      </c>
      <c r="D88" s="17">
        <v>0</v>
      </c>
      <c r="E88" s="17">
        <v>0</v>
      </c>
      <c r="F88" s="17">
        <v>4</v>
      </c>
    </row>
    <row r="89" spans="1:6" x14ac:dyDescent="0.35">
      <c r="A89" s="19" t="s">
        <v>456</v>
      </c>
      <c r="B89" s="17">
        <v>6.8609999999999998</v>
      </c>
      <c r="C89" s="17">
        <v>214.845</v>
      </c>
      <c r="D89" s="17">
        <v>0.21171171171171169</v>
      </c>
      <c r="E89" s="17">
        <v>1.4525540540540538E-3</v>
      </c>
      <c r="F89" s="17">
        <v>4</v>
      </c>
    </row>
    <row r="90" spans="1:6" x14ac:dyDescent="0.35">
      <c r="A90" s="19" t="s">
        <v>459</v>
      </c>
      <c r="B90" s="17">
        <v>2.4620000000000002</v>
      </c>
      <c r="C90" s="17">
        <v>211.245</v>
      </c>
      <c r="D90" s="17">
        <v>0</v>
      </c>
      <c r="E90" s="17">
        <v>0</v>
      </c>
      <c r="F90" s="17">
        <v>4</v>
      </c>
    </row>
    <row r="91" spans="1:6" x14ac:dyDescent="0.35">
      <c r="A91" s="19" t="s">
        <v>463</v>
      </c>
      <c r="B91" s="17">
        <v>4.3710000000000004</v>
      </c>
      <c r="C91" s="17">
        <v>172.05699999999999</v>
      </c>
      <c r="D91" s="17">
        <v>0.24444444444444444</v>
      </c>
      <c r="E91" s="17">
        <v>1.0684666666666667E-3</v>
      </c>
      <c r="F91" s="17">
        <v>4</v>
      </c>
    </row>
    <row r="92" spans="1:6" x14ac:dyDescent="0.35">
      <c r="A92" s="19" t="s">
        <v>464</v>
      </c>
      <c r="B92" s="17">
        <v>10.441000000000001</v>
      </c>
      <c r="C92" s="17">
        <v>186.852</v>
      </c>
      <c r="D92" s="17">
        <v>0.23275862068965519</v>
      </c>
      <c r="E92" s="17">
        <v>2.4302327586206902E-3</v>
      </c>
      <c r="F92" s="17">
        <v>4</v>
      </c>
    </row>
    <row r="93" spans="1:6" x14ac:dyDescent="0.35">
      <c r="A93" s="19" t="s">
        <v>468</v>
      </c>
      <c r="B93" s="17">
        <v>69.492000000000004</v>
      </c>
      <c r="C93" s="17">
        <v>231.65299999999999</v>
      </c>
      <c r="D93" s="17">
        <v>0.13703443429374559</v>
      </c>
      <c r="E93" s="17">
        <v>9.5227969079409707E-3</v>
      </c>
      <c r="F93" s="17">
        <v>4</v>
      </c>
    </row>
    <row r="94" spans="1:6" x14ac:dyDescent="0.35">
      <c r="A94" s="19" t="s">
        <v>17</v>
      </c>
      <c r="B94" s="17">
        <v>13.651</v>
      </c>
      <c r="C94" s="17">
        <v>0.22972000000000001</v>
      </c>
      <c r="D94" s="17">
        <v>0.18749999999999997</v>
      </c>
      <c r="E94" s="17">
        <v>2.5595624999999998E-3</v>
      </c>
      <c r="F94" s="17">
        <v>4</v>
      </c>
    </row>
    <row r="95" spans="1:6" x14ac:dyDescent="0.35">
      <c r="A95" s="19" t="s">
        <v>473</v>
      </c>
      <c r="B95" s="17">
        <v>9.3610000000000007</v>
      </c>
      <c r="C95" s="17">
        <v>177.85900000000001</v>
      </c>
      <c r="D95" s="17">
        <v>0.15770609318996415</v>
      </c>
      <c r="E95" s="17">
        <v>1.4762867383512545E-3</v>
      </c>
      <c r="F95" s="17">
        <v>4</v>
      </c>
    </row>
    <row r="96" spans="1:6" x14ac:dyDescent="0.35">
      <c r="A96" s="19" t="s">
        <v>479</v>
      </c>
      <c r="B96" s="17">
        <v>2.8759999999999999</v>
      </c>
      <c r="C96" s="17">
        <v>174.19900000000001</v>
      </c>
      <c r="D96" s="17">
        <v>0.1818181818181818</v>
      </c>
      <c r="E96" s="17">
        <v>5.2290909090909091E-4</v>
      </c>
      <c r="F96" s="17">
        <v>4</v>
      </c>
    </row>
    <row r="97" spans="1:6" x14ac:dyDescent="0.35">
      <c r="A97" s="19" t="s">
        <v>15</v>
      </c>
      <c r="B97" s="17">
        <v>23.286000000000001</v>
      </c>
      <c r="C97" s="17">
        <v>222.536</v>
      </c>
      <c r="D97" s="17">
        <v>0</v>
      </c>
      <c r="E97" s="17">
        <v>0</v>
      </c>
      <c r="F97" s="17">
        <v>4</v>
      </c>
    </row>
    <row r="98" spans="1:6" x14ac:dyDescent="0.35">
      <c r="A98" s="19" t="s">
        <v>491</v>
      </c>
      <c r="B98" s="17">
        <v>12.297000000000001</v>
      </c>
      <c r="C98" s="17">
        <v>197.77500000000001</v>
      </c>
      <c r="D98" s="17">
        <v>0.24758842443729906</v>
      </c>
      <c r="E98" s="17">
        <v>3.0445948553054665E-3</v>
      </c>
      <c r="F98" s="17">
        <v>4</v>
      </c>
    </row>
    <row r="99" spans="1:6" x14ac:dyDescent="0.35">
      <c r="A99" s="19" t="s">
        <v>14</v>
      </c>
      <c r="B99" s="17">
        <v>11.263</v>
      </c>
      <c r="C99" s="17">
        <v>214.59299999999999</v>
      </c>
      <c r="D99" s="17">
        <v>0.19205298013245031</v>
      </c>
      <c r="E99" s="17">
        <v>2.163092715231788E-3</v>
      </c>
      <c r="F99" s="17">
        <v>4</v>
      </c>
    </row>
    <row r="100" spans="1:6" x14ac:dyDescent="0.35">
      <c r="A100" s="19" t="s">
        <v>493</v>
      </c>
      <c r="B100" s="17">
        <v>78.924000000000007</v>
      </c>
      <c r="C100" s="17">
        <v>235.518</v>
      </c>
      <c r="D100" s="17">
        <v>0.18015824710894704</v>
      </c>
      <c r="E100" s="17">
        <v>1.4218809494826538E-2</v>
      </c>
      <c r="F100" s="17">
        <v>4</v>
      </c>
    </row>
    <row r="101" spans="1:6" x14ac:dyDescent="0.35">
      <c r="A101" s="19" t="s">
        <v>499</v>
      </c>
      <c r="B101" s="17">
        <v>57.003</v>
      </c>
      <c r="C101" s="17">
        <v>215.44499999999999</v>
      </c>
      <c r="D101" s="17">
        <v>0.15419947506561679</v>
      </c>
      <c r="E101" s="17">
        <v>8.7898326771653542E-3</v>
      </c>
      <c r="F101" s="17">
        <v>4</v>
      </c>
    </row>
    <row r="102" spans="1:6" x14ac:dyDescent="0.35">
      <c r="A102" s="19" t="s">
        <v>10</v>
      </c>
      <c r="B102" s="17">
        <v>38.475000000000001</v>
      </c>
      <c r="C102" s="17">
        <v>200.441</v>
      </c>
      <c r="D102" s="17">
        <v>0.2332155477031802</v>
      </c>
      <c r="E102" s="17">
        <v>8.9729681978798579E-3</v>
      </c>
      <c r="F102" s="17">
        <v>4</v>
      </c>
    </row>
    <row r="103" spans="1:6" x14ac:dyDescent="0.35">
      <c r="A103" s="19" t="s">
        <v>509</v>
      </c>
      <c r="B103" s="17">
        <v>54.808</v>
      </c>
      <c r="C103" s="17">
        <v>0.34086</v>
      </c>
      <c r="D103" s="17">
        <v>0.22600408441116404</v>
      </c>
      <c r="E103" s="17">
        <v>1.2386831858407079E-2</v>
      </c>
      <c r="F103" s="17">
        <v>4</v>
      </c>
    </row>
    <row r="104" spans="1:6" x14ac:dyDescent="0.35">
      <c r="A104" s="19" t="s">
        <v>510</v>
      </c>
      <c r="B104" s="17">
        <v>2.8660000000000001</v>
      </c>
      <c r="C104" s="17">
        <v>126.298</v>
      </c>
      <c r="D104" s="17">
        <v>0.12857142857142859</v>
      </c>
      <c r="E104" s="17">
        <v>3.6848571428571434E-4</v>
      </c>
      <c r="F104" s="17">
        <v>4</v>
      </c>
    </row>
    <row r="105" spans="1:6" x14ac:dyDescent="0.35">
      <c r="A105" s="19" t="s">
        <v>514</v>
      </c>
      <c r="B105" s="17">
        <v>2.891</v>
      </c>
      <c r="C105" s="17">
        <v>126.271</v>
      </c>
      <c r="D105" s="17">
        <v>0.11290322580645162</v>
      </c>
      <c r="E105" s="17">
        <v>3.2640322580645162E-4</v>
      </c>
      <c r="F105" s="17">
        <v>4</v>
      </c>
    </row>
    <row r="106" spans="1:6" x14ac:dyDescent="0.35">
      <c r="A106" s="19" t="s">
        <v>528</v>
      </c>
      <c r="B106" s="17">
        <v>6.6740000000000004</v>
      </c>
      <c r="C106" s="17">
        <v>0.19763</v>
      </c>
      <c r="D106" s="17">
        <v>0.08</v>
      </c>
      <c r="E106" s="17">
        <v>5.3392000000000001E-4</v>
      </c>
      <c r="F106" s="17">
        <v>4</v>
      </c>
    </row>
    <row r="107" spans="1:6" x14ac:dyDescent="0.35">
      <c r="A107" s="19" t="s">
        <v>531</v>
      </c>
      <c r="B107" s="17">
        <v>2.7730000000000001</v>
      </c>
      <c r="C107" s="17">
        <v>152.18899999999999</v>
      </c>
      <c r="D107" s="17">
        <v>0.11578947368421053</v>
      </c>
      <c r="E107" s="17">
        <v>3.210842105263158E-4</v>
      </c>
      <c r="F107" s="17">
        <v>4</v>
      </c>
    </row>
    <row r="108" spans="1:6" x14ac:dyDescent="0.35">
      <c r="A108" s="19" t="s">
        <v>541</v>
      </c>
      <c r="B108" s="17">
        <v>64.694999999999993</v>
      </c>
      <c r="C108" s="17">
        <v>226.202</v>
      </c>
      <c r="D108" s="17">
        <v>0.22376237623762377</v>
      </c>
      <c r="E108" s="17">
        <v>1.4476306930693069E-2</v>
      </c>
      <c r="F108" s="17">
        <v>4</v>
      </c>
    </row>
    <row r="109" spans="1:6" x14ac:dyDescent="0.35">
      <c r="A109" s="19" t="s">
        <v>544</v>
      </c>
      <c r="B109" s="17">
        <v>5.1459999999999999</v>
      </c>
      <c r="C109" s="17">
        <v>192.786</v>
      </c>
      <c r="D109" s="17">
        <v>0</v>
      </c>
      <c r="E109" s="17">
        <v>0</v>
      </c>
      <c r="F109" s="17">
        <v>4</v>
      </c>
    </row>
    <row r="110" spans="1:6" x14ac:dyDescent="0.35">
      <c r="A110" s="19" t="s">
        <v>546</v>
      </c>
      <c r="B110" s="17">
        <v>2.5899999999999999E-3</v>
      </c>
      <c r="C110" s="17">
        <v>182.24299999999999</v>
      </c>
      <c r="D110" s="17">
        <v>0.1818181818181818</v>
      </c>
      <c r="E110" s="17">
        <v>4.7090909090909082E-7</v>
      </c>
      <c r="F110" s="17">
        <v>4</v>
      </c>
    </row>
    <row r="111" spans="1:6" x14ac:dyDescent="0.35">
      <c r="A111" s="19" t="s">
        <v>576</v>
      </c>
      <c r="B111" s="17">
        <v>2477.4492500000001</v>
      </c>
      <c r="C111" s="17">
        <v>144.32466831775704</v>
      </c>
      <c r="D111" s="17">
        <v>17.423629630630654</v>
      </c>
      <c r="E111" s="17">
        <v>0.4475412027610739</v>
      </c>
      <c r="F111" s="17">
        <v>428</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6D249B-86B5-462B-83FA-967F12C3C486}">
  <sheetPr codeName="Sheet6"/>
  <dimension ref="A1:I535"/>
  <sheetViews>
    <sheetView workbookViewId="0"/>
  </sheetViews>
  <sheetFormatPr defaultRowHeight="14.5" x14ac:dyDescent="0.35"/>
  <cols>
    <col min="1" max="1" width="9" bestFit="1" customWidth="1"/>
    <col min="2" max="2" width="7.90625" bestFit="1" customWidth="1"/>
    <col min="3" max="3" width="8.6328125" bestFit="1" customWidth="1"/>
    <col min="4" max="4" width="14.7265625" bestFit="1" customWidth="1"/>
    <col min="5" max="5" width="11.81640625" bestFit="1" customWidth="1"/>
    <col min="6" max="6" width="6.90625" bestFit="1" customWidth="1"/>
  </cols>
  <sheetData>
    <row r="1" spans="1:9" ht="29" x14ac:dyDescent="0.35">
      <c r="A1" s="3" t="s">
        <v>551</v>
      </c>
      <c r="B1" s="3" t="s">
        <v>151</v>
      </c>
      <c r="C1" s="3" t="s">
        <v>152</v>
      </c>
      <c r="D1" s="4" t="s">
        <v>570</v>
      </c>
      <c r="E1" s="3" t="s">
        <v>571</v>
      </c>
      <c r="F1" s="3" t="s">
        <v>573</v>
      </c>
    </row>
    <row r="2" spans="1:9" x14ac:dyDescent="0.35">
      <c r="A2" s="1" t="s">
        <v>153</v>
      </c>
      <c r="B2" s="2">
        <v>2.4830000000000001</v>
      </c>
      <c r="C2" s="2">
        <v>334.69099999999997</v>
      </c>
      <c r="D2" s="5">
        <f>+VLOOKUP(A2,Sheet6!A:D,4,0)</f>
        <v>0.19047619047619049</v>
      </c>
      <c r="E2" s="5">
        <f t="shared" ref="E2:E65" si="0">(B2*D2)/1000</f>
        <v>4.7295238095238103E-4</v>
      </c>
      <c r="F2" s="5" cm="1">
        <f t="array" ref="F2">_xlfn.IFS(
    AND(C2&gt;C$535,D2&lt;D$535),1,
    AND(C2&gt;C$535,D2&gt;D$535),2,
    AND(C2&lt;C$535,D2&lt;D$535),4,
    AND(C2&lt;C$535,D2&gt;D$535),3,
    TRUE,""
)</f>
        <v>1</v>
      </c>
      <c r="H2" s="20"/>
      <c r="I2" s="5"/>
    </row>
    <row r="3" spans="1:9" x14ac:dyDescent="0.35">
      <c r="A3" s="1" t="s">
        <v>154</v>
      </c>
      <c r="B3" s="2">
        <v>35.484999999999999</v>
      </c>
      <c r="C3" s="2">
        <v>329.88900000000001</v>
      </c>
      <c r="D3" s="5">
        <f>+VLOOKUP(A3,Sheet6!A:D,4,0)</f>
        <v>0.28748280605226961</v>
      </c>
      <c r="E3" s="5">
        <f t="shared" si="0"/>
        <v>1.0201327372764787E-2</v>
      </c>
      <c r="F3" s="5" cm="1">
        <f t="array" ref="F3">_xlfn.IFS(
    AND(C3&gt;C$535,D3&lt;D$535),1,
    AND(C3&gt;C$535,D3&gt;D$535),2,
    AND(C3&lt;C$535,D3&lt;D$535),4,
    AND(C3&lt;C$535,D3&gt;D$535),3,
    TRUE,""
)</f>
        <v>2</v>
      </c>
      <c r="H3" s="5"/>
      <c r="I3" s="5"/>
    </row>
    <row r="4" spans="1:9" x14ac:dyDescent="0.35">
      <c r="A4" s="1" t="s">
        <v>155</v>
      </c>
      <c r="B4" s="2">
        <v>6.9619999999999997</v>
      </c>
      <c r="C4" s="2">
        <v>191.74199999999999</v>
      </c>
      <c r="D4" s="5">
        <f>+VLOOKUP(A4,Sheet6!A:D,4,0)</f>
        <v>0.44594594594594589</v>
      </c>
      <c r="E4" s="5">
        <f t="shared" si="0"/>
        <v>3.1046756756756754E-3</v>
      </c>
      <c r="F4" s="5" cm="1">
        <f t="array" ref="F4">_xlfn.IFS(
    AND(C4&gt;C$535,D4&lt;D$535),1,
    AND(C4&gt;C$535,D4&gt;D$535),2,
    AND(C4&lt;C$535,D4&lt;D$535),4,
    AND(C4&lt;C$535,D4&gt;D$535),3,
    TRUE,""
)</f>
        <v>3</v>
      </c>
      <c r="H4" s="5"/>
      <c r="I4" s="5"/>
    </row>
    <row r="5" spans="1:9" x14ac:dyDescent="0.35">
      <c r="A5" s="1" t="s">
        <v>156</v>
      </c>
      <c r="B5" s="2">
        <v>38.878999999999998</v>
      </c>
      <c r="C5" s="2">
        <v>261.24299999999999</v>
      </c>
      <c r="D5" s="5">
        <f>+VLOOKUP(A5,Sheet6!A:D,4,0)</f>
        <v>0.25615314494074748</v>
      </c>
      <c r="E5" s="5">
        <f t="shared" si="0"/>
        <v>9.9589781221513206E-3</v>
      </c>
      <c r="F5" s="5" cm="1">
        <f t="array" ref="F5">_xlfn.IFS(
    AND(C5&gt;C$535,D5&lt;D$535),1,
    AND(C5&gt;C$535,D5&gt;D$535),2,
    AND(C5&lt;C$535,D5&lt;D$535),4,
    AND(C5&lt;C$535,D5&gt;D$535),3,
    TRUE,""
)</f>
        <v>1</v>
      </c>
      <c r="H5" s="5"/>
      <c r="I5" s="5"/>
    </row>
    <row r="6" spans="1:9" x14ac:dyDescent="0.35">
      <c r="A6" s="1" t="s">
        <v>150</v>
      </c>
      <c r="B6" s="2">
        <v>52.457000000000001</v>
      </c>
      <c r="C6" s="2">
        <v>360.678</v>
      </c>
      <c r="D6" s="5">
        <f>+VLOOKUP(A6,Sheet6!A:D,4,0)</f>
        <v>0.24258289703315877</v>
      </c>
      <c r="E6" s="5">
        <f t="shared" si="0"/>
        <v>1.2725171029668409E-2</v>
      </c>
      <c r="F6" s="5" cm="1">
        <f t="array" ref="F6">_xlfn.IFS(
    AND(C6&gt;C$535,D6&lt;D$535),1,
    AND(C6&gt;C$535,D6&gt;D$535),2,
    AND(C6&lt;C$535,D6&lt;D$535),4,
    AND(C6&lt;C$535,D6&gt;D$535),3,
    TRUE,""
)</f>
        <v>1</v>
      </c>
      <c r="H6" s="5"/>
      <c r="I6" s="5"/>
    </row>
    <row r="7" spans="1:9" x14ac:dyDescent="0.35">
      <c r="A7" s="1" t="s">
        <v>149</v>
      </c>
      <c r="B7" s="2">
        <v>3.2829999999999999</v>
      </c>
      <c r="C7" s="2">
        <v>300.04500000000002</v>
      </c>
      <c r="D7" s="5">
        <f>+VLOOKUP(A7,Sheet6!A:D,4,0)</f>
        <v>0.23364485981308411</v>
      </c>
      <c r="E7" s="5">
        <f t="shared" si="0"/>
        <v>7.6705607476635512E-4</v>
      </c>
      <c r="F7" s="5" cm="1">
        <f t="array" ref="F7">_xlfn.IFS(
    AND(C7&gt;C$535,D7&lt;D$535),1,
    AND(C7&gt;C$535,D7&gt;D$535),2,
    AND(C7&lt;C$535,D7&lt;D$535),4,
    AND(C7&lt;C$535,D7&gt;D$535),3,
    TRUE,""
)</f>
        <v>1</v>
      </c>
      <c r="H7" s="5"/>
      <c r="I7" s="5"/>
    </row>
    <row r="8" spans="1:9" x14ac:dyDescent="0.35">
      <c r="A8" s="1" t="s">
        <v>148</v>
      </c>
      <c r="B8" s="2">
        <v>4.7590000000000003</v>
      </c>
      <c r="C8" s="2">
        <v>200.89099999999999</v>
      </c>
      <c r="D8" s="5">
        <f>+VLOOKUP(A8,Sheet6!A:D,4,0)</f>
        <v>0.19642857142857142</v>
      </c>
      <c r="E8" s="5">
        <f t="shared" si="0"/>
        <v>9.3480357142857156E-4</v>
      </c>
      <c r="F8" s="5" cm="1">
        <f t="array" ref="F8">_xlfn.IFS(
    AND(C8&gt;C$535,D8&lt;D$535),1,
    AND(C8&gt;C$535,D8&gt;D$535),2,
    AND(C8&lt;C$535,D8&lt;D$535),4,
    AND(C8&lt;C$535,D8&gt;D$535),3,
    TRUE,""
)</f>
        <v>4</v>
      </c>
      <c r="H8" s="5"/>
      <c r="I8" s="5"/>
    </row>
    <row r="9" spans="1:9" x14ac:dyDescent="0.35">
      <c r="A9" s="1" t="s">
        <v>157</v>
      </c>
      <c r="B9" s="2">
        <v>8.7089999999999996</v>
      </c>
      <c r="C9" s="2">
        <v>284.74700000000001</v>
      </c>
      <c r="D9" s="5">
        <f>+VLOOKUP(A9,Sheet6!A:D,4,0)</f>
        <v>0.29946524064171126</v>
      </c>
      <c r="E9" s="5">
        <f t="shared" si="0"/>
        <v>2.6080427807486633E-3</v>
      </c>
      <c r="F9" s="5" cm="1">
        <f t="array" ref="F9">_xlfn.IFS(
    AND(C9&gt;C$535,D9&lt;D$535),1,
    AND(C9&gt;C$535,D9&gt;D$535),2,
    AND(C9&lt;C$535,D9&lt;D$535),4,
    AND(C9&lt;C$535,D9&gt;D$535),3,
    TRUE,""
)</f>
        <v>2</v>
      </c>
      <c r="H9" s="5"/>
      <c r="I9" s="5"/>
    </row>
    <row r="10" spans="1:9" x14ac:dyDescent="0.35">
      <c r="A10" s="1" t="s">
        <v>158</v>
      </c>
      <c r="B10" s="2">
        <v>2.6970000000000001</v>
      </c>
      <c r="C10" s="2">
        <v>127.571</v>
      </c>
      <c r="D10" s="5">
        <f>+VLOOKUP(A10,Sheet6!A:D,4,0)</f>
        <v>0.62</v>
      </c>
      <c r="E10" s="5">
        <f t="shared" si="0"/>
        <v>1.6721399999999999E-3</v>
      </c>
      <c r="F10" s="5" cm="1">
        <f t="array" ref="F10">_xlfn.IFS(
    AND(C10&gt;C$535,D10&lt;D$535),1,
    AND(C10&gt;C$535,D10&gt;D$535),2,
    AND(C10&lt;C$535,D10&lt;D$535),4,
    AND(C10&lt;C$535,D10&gt;D$535),3,
    TRUE,""
)</f>
        <v>3</v>
      </c>
      <c r="H10" s="5"/>
      <c r="I10" s="5"/>
    </row>
    <row r="11" spans="1:9" x14ac:dyDescent="0.35">
      <c r="A11" s="1" t="s">
        <v>147</v>
      </c>
      <c r="B11" s="2">
        <v>38.781999999999996</v>
      </c>
      <c r="C11" s="1">
        <v>0.21095</v>
      </c>
      <c r="D11" s="5">
        <f>+VLOOKUP(A11,Sheet6!A:D,4,0)</f>
        <v>0.36031042128603108</v>
      </c>
      <c r="E11" s="5">
        <f t="shared" si="0"/>
        <v>1.3973558758314858E-2</v>
      </c>
      <c r="F11" s="5" cm="1">
        <f t="array" ref="F11">_xlfn.IFS(
    AND(C11&gt;C$535,D11&lt;D$535),1,
    AND(C11&gt;C$535,D11&gt;D$535),2,
    AND(C11&lt;C$535,D11&lt;D$535),4,
    AND(C11&lt;C$535,D11&gt;D$535),3,
    TRUE,""
)</f>
        <v>3</v>
      </c>
      <c r="H11" s="5"/>
      <c r="I11" s="5"/>
    </row>
    <row r="12" spans="1:9" x14ac:dyDescent="0.35">
      <c r="A12" s="1" t="s">
        <v>159</v>
      </c>
      <c r="B12" s="2">
        <v>72.588999999999999</v>
      </c>
      <c r="C12" s="2">
        <v>298.80399999999997</v>
      </c>
      <c r="D12" s="5">
        <f>+VLOOKUP(A12,Sheet6!A:D,4,0)</f>
        <v>0.21639344262295082</v>
      </c>
      <c r="E12" s="5">
        <f t="shared" si="0"/>
        <v>1.5707783606557377E-2</v>
      </c>
      <c r="F12" s="5" cm="1">
        <f t="array" ref="F12">_xlfn.IFS(
    AND(C12&gt;C$535,D12&lt;D$535),1,
    AND(C12&gt;C$535,D12&gt;D$535),2,
    AND(C12&lt;C$535,D12&lt;D$535),4,
    AND(C12&lt;C$535,D12&gt;D$535),3,
    TRUE,""
)</f>
        <v>1</v>
      </c>
      <c r="H12" s="5"/>
      <c r="I12" s="5"/>
    </row>
    <row r="13" spans="1:9" x14ac:dyDescent="0.35">
      <c r="A13" s="1" t="s">
        <v>146</v>
      </c>
      <c r="B13" s="2">
        <v>18.596</v>
      </c>
      <c r="C13" s="2">
        <v>211.65700000000001</v>
      </c>
      <c r="D13" s="5">
        <f>+VLOOKUP(A13,Sheet6!A:D,4,0)</f>
        <v>0.2553763440860215</v>
      </c>
      <c r="E13" s="5">
        <f t="shared" si="0"/>
        <v>4.7489784946236563E-3</v>
      </c>
      <c r="F13" s="5" cm="1">
        <f t="array" ref="F13">_xlfn.IFS(
    AND(C13&gt;C$535,D13&lt;D$535),1,
    AND(C13&gt;C$535,D13&gt;D$535),2,
    AND(C13&lt;C$535,D13&lt;D$535),4,
    AND(C13&lt;C$535,D13&gt;D$535),3,
    TRUE,""
)</f>
        <v>4</v>
      </c>
      <c r="H13" s="5"/>
      <c r="I13" s="5"/>
    </row>
    <row r="14" spans="1:9" x14ac:dyDescent="0.35">
      <c r="A14" s="1" t="s">
        <v>160</v>
      </c>
      <c r="B14" s="2">
        <v>76.272000000000006</v>
      </c>
      <c r="C14" s="2">
        <v>278.738</v>
      </c>
      <c r="D14" s="5">
        <f>+VLOOKUP(A14,Sheet6!A:D,4,0)</f>
        <v>0.17492163009404391</v>
      </c>
      <c r="E14" s="5">
        <f t="shared" si="0"/>
        <v>1.3341622570532919E-2</v>
      </c>
      <c r="F14" s="5" cm="1">
        <f t="array" ref="F14">_xlfn.IFS(
    AND(C14&gt;C$535,D14&lt;D$535),1,
    AND(C14&gt;C$535,D14&gt;D$535),2,
    AND(C14&lt;C$535,D14&lt;D$535),4,
    AND(C14&lt;C$535,D14&gt;D$535),3,
    TRUE,""
)</f>
        <v>1</v>
      </c>
      <c r="H14" s="5"/>
      <c r="I14" s="5"/>
    </row>
    <row r="15" spans="1:9" x14ac:dyDescent="0.35">
      <c r="A15" s="1" t="s">
        <v>161</v>
      </c>
      <c r="B15" s="2">
        <v>6.8230000000000004</v>
      </c>
      <c r="C15" s="2">
        <v>222.47200000000001</v>
      </c>
      <c r="D15" s="5">
        <f>+VLOOKUP(A15,Sheet6!A:D,4,0)</f>
        <v>0.24186046511627909</v>
      </c>
      <c r="E15" s="5">
        <f t="shared" si="0"/>
        <v>1.6502139534883724E-3</v>
      </c>
      <c r="F15" s="5" cm="1">
        <f t="array" ref="F15">_xlfn.IFS(
    AND(C15&gt;C$535,D15&lt;D$535),1,
    AND(C15&gt;C$535,D15&gt;D$535),2,
    AND(C15&lt;C$535,D15&lt;D$535),4,
    AND(C15&lt;C$535,D15&gt;D$535),3,
    TRUE,""
)</f>
        <v>4</v>
      </c>
      <c r="H15" s="5"/>
      <c r="I15" s="5"/>
    </row>
    <row r="16" spans="1:9" x14ac:dyDescent="0.35">
      <c r="A16" s="1" t="s">
        <v>145</v>
      </c>
      <c r="B16" s="2">
        <v>4.3360000000000003</v>
      </c>
      <c r="C16" s="2">
        <v>261.07799999999997</v>
      </c>
      <c r="D16" s="5">
        <f>+VLOOKUP(A16,Sheet6!A:D,4,0)</f>
        <v>0.27536231884057971</v>
      </c>
      <c r="E16" s="5">
        <f t="shared" si="0"/>
        <v>1.1939710144927538E-3</v>
      </c>
      <c r="F16" s="5" cm="1">
        <f t="array" ref="F16">_xlfn.IFS(
    AND(C16&gt;C$535,D16&lt;D$535),1,
    AND(C16&gt;C$535,D16&gt;D$535),2,
    AND(C16&lt;C$535,D16&lt;D$535),4,
    AND(C16&lt;C$535,D16&gt;D$535),3,
    TRUE,""
)</f>
        <v>2</v>
      </c>
      <c r="H16" s="5"/>
      <c r="I16" s="5"/>
    </row>
    <row r="17" spans="1:9" x14ac:dyDescent="0.35">
      <c r="A17" s="1" t="s">
        <v>144</v>
      </c>
      <c r="B17" s="2">
        <v>36.588999999999999</v>
      </c>
      <c r="C17" s="2">
        <v>367.65499999999997</v>
      </c>
      <c r="D17" s="5">
        <f>+VLOOKUP(A17,Sheet6!A:D,4,0)</f>
        <v>0.12483221476510067</v>
      </c>
      <c r="E17" s="5">
        <f t="shared" si="0"/>
        <v>4.5674859060402685E-3</v>
      </c>
      <c r="F17" s="5" cm="1">
        <f t="array" ref="F17">_xlfn.IFS(
    AND(C17&gt;C$535,D17&lt;D$535),1,
    AND(C17&gt;C$535,D17&gt;D$535),2,
    AND(C17&lt;C$535,D17&lt;D$535),4,
    AND(C17&lt;C$535,D17&gt;D$535),3,
    TRUE,""
)</f>
        <v>1</v>
      </c>
      <c r="H17" s="5"/>
      <c r="I17" s="5"/>
    </row>
    <row r="18" spans="1:9" x14ac:dyDescent="0.35">
      <c r="A18" s="1" t="s">
        <v>162</v>
      </c>
      <c r="B18" s="2">
        <v>55.591999999999999</v>
      </c>
      <c r="C18" s="2">
        <v>355.82499999999999</v>
      </c>
      <c r="D18" s="5">
        <f>+VLOOKUP(A18,Sheet6!A:D,4,0)</f>
        <v>0.1407811080835604</v>
      </c>
      <c r="E18" s="5">
        <f t="shared" si="0"/>
        <v>7.8263033605812903E-3</v>
      </c>
      <c r="F18" s="5" cm="1">
        <f t="array" ref="F18">_xlfn.IFS(
    AND(C18&gt;C$535,D18&lt;D$535),1,
    AND(C18&gt;C$535,D18&gt;D$535),2,
    AND(C18&lt;C$535,D18&lt;D$535),4,
    AND(C18&lt;C$535,D18&gt;D$535),3,
    TRUE,""
)</f>
        <v>1</v>
      </c>
      <c r="H18" s="5"/>
      <c r="I18" s="5"/>
    </row>
    <row r="19" spans="1:9" x14ac:dyDescent="0.35">
      <c r="A19" s="1" t="s">
        <v>143</v>
      </c>
      <c r="B19" s="2">
        <v>25.114000000000001</v>
      </c>
      <c r="C19" s="2">
        <v>250.46100000000001</v>
      </c>
      <c r="D19" s="5">
        <f>+VLOOKUP(A19,Sheet6!A:D,4,0)</f>
        <v>0.28947368421052627</v>
      </c>
      <c r="E19" s="5">
        <f t="shared" si="0"/>
        <v>7.269842105263157E-3</v>
      </c>
      <c r="F19" s="5" cm="1">
        <f t="array" ref="F19">_xlfn.IFS(
    AND(C19&gt;C$535,D19&lt;D$535),1,
    AND(C19&gt;C$535,D19&gt;D$535),2,
    AND(C19&lt;C$535,D19&lt;D$535),4,
    AND(C19&lt;C$535,D19&gt;D$535),3,
    TRUE,""
)</f>
        <v>2</v>
      </c>
      <c r="H19" s="5"/>
      <c r="I19" s="5"/>
    </row>
    <row r="20" spans="1:9" x14ac:dyDescent="0.35">
      <c r="A20" s="1" t="s">
        <v>163</v>
      </c>
      <c r="B20" s="2">
        <v>5.9790000000000001</v>
      </c>
      <c r="C20" s="2">
        <v>171.09899999999999</v>
      </c>
      <c r="D20" s="5">
        <f>+VLOOKUP(A20,Sheet6!A:D,4,0)</f>
        <v>0.18666666666666668</v>
      </c>
      <c r="E20" s="5">
        <f t="shared" si="0"/>
        <v>1.11608E-3</v>
      </c>
      <c r="F20" s="5" cm="1">
        <f t="array" ref="F20">_xlfn.IFS(
    AND(C20&gt;C$535,D20&lt;D$535),1,
    AND(C20&gt;C$535,D20&gt;D$535),2,
    AND(C20&lt;C$535,D20&lt;D$535),4,
    AND(C20&lt;C$535,D20&gt;D$535),3,
    TRUE,""
)</f>
        <v>4</v>
      </c>
      <c r="H20" s="5"/>
      <c r="I20" s="5"/>
    </row>
    <row r="21" spans="1:9" x14ac:dyDescent="0.35">
      <c r="A21" s="1" t="s">
        <v>164</v>
      </c>
      <c r="B21" s="2">
        <v>28.914999999999999</v>
      </c>
      <c r="C21" s="2">
        <v>338.50700000000001</v>
      </c>
      <c r="D21" s="5">
        <f>+VLOOKUP(A21,Sheet6!A:D,4,0)</f>
        <v>6.2670299727520445E-2</v>
      </c>
      <c r="E21" s="5">
        <f t="shared" si="0"/>
        <v>1.8121117166212538E-3</v>
      </c>
      <c r="F21" s="5" cm="1">
        <f t="array" ref="F21">_xlfn.IFS(
    AND(C21&gt;C$535,D21&lt;D$535),1,
    AND(C21&gt;C$535,D21&gt;D$535),2,
    AND(C21&lt;C$535,D21&lt;D$535),4,
    AND(C21&lt;C$535,D21&gt;D$535),3,
    TRUE,""
)</f>
        <v>1</v>
      </c>
      <c r="H21" s="5"/>
      <c r="I21" s="5"/>
    </row>
    <row r="22" spans="1:9" x14ac:dyDescent="0.35">
      <c r="A22" s="1" t="s">
        <v>165</v>
      </c>
      <c r="B22" s="2">
        <v>65.183999999999997</v>
      </c>
      <c r="C22" s="2">
        <v>284.149</v>
      </c>
      <c r="D22" s="5">
        <f>+VLOOKUP(A22,Sheet6!A:D,4,0)</f>
        <v>0.24260355029585798</v>
      </c>
      <c r="E22" s="5">
        <f t="shared" si="0"/>
        <v>1.5813869822485206E-2</v>
      </c>
      <c r="F22" s="5" cm="1">
        <f t="array" ref="F22">_xlfn.IFS(
    AND(C22&gt;C$535,D22&lt;D$535),1,
    AND(C22&gt;C$535,D22&gt;D$535),2,
    AND(C22&lt;C$535,D22&lt;D$535),4,
    AND(C22&lt;C$535,D22&gt;D$535),3,
    TRUE,""
)</f>
        <v>1</v>
      </c>
      <c r="H22" s="5"/>
      <c r="I22" s="5"/>
    </row>
    <row r="23" spans="1:9" x14ac:dyDescent="0.35">
      <c r="A23" s="1" t="s">
        <v>142</v>
      </c>
      <c r="B23" s="2">
        <v>24.242999999999999</v>
      </c>
      <c r="C23" s="2">
        <v>211.35900000000001</v>
      </c>
      <c r="D23" s="5">
        <f>+VLOOKUP(A23,Sheet6!A:D,4,0)</f>
        <v>0.50887573964497035</v>
      </c>
      <c r="E23" s="5">
        <f t="shared" si="0"/>
        <v>1.2336674556213015E-2</v>
      </c>
      <c r="F23" s="5" cm="1">
        <f t="array" ref="F23">_xlfn.IFS(
    AND(C23&gt;C$535,D23&lt;D$535),1,
    AND(C23&gt;C$535,D23&gt;D$535),2,
    AND(C23&lt;C$535,D23&lt;D$535),4,
    AND(C23&lt;C$535,D23&gt;D$535),3,
    TRUE,""
)</f>
        <v>3</v>
      </c>
      <c r="H23" s="5"/>
      <c r="I23" s="5"/>
    </row>
    <row r="24" spans="1:9" x14ac:dyDescent="0.35">
      <c r="A24" s="1" t="s">
        <v>141</v>
      </c>
      <c r="B24" s="2">
        <v>30.216000000000001</v>
      </c>
      <c r="C24" s="2">
        <v>246.82400000000001</v>
      </c>
      <c r="D24" s="5">
        <f>+VLOOKUP(A24,Sheet6!A:D,4,0)</f>
        <v>0.15674362089914945</v>
      </c>
      <c r="E24" s="5">
        <f t="shared" si="0"/>
        <v>4.7361652490886998E-3</v>
      </c>
      <c r="F24" s="5" cm="1">
        <f t="array" ref="F24">_xlfn.IFS(
    AND(C24&gt;C$535,D24&lt;D$535),1,
    AND(C24&gt;C$535,D24&gt;D$535),2,
    AND(C24&lt;C$535,D24&lt;D$535),4,
    AND(C24&lt;C$535,D24&gt;D$535),3,
    TRUE,""
)</f>
        <v>1</v>
      </c>
      <c r="H24" s="5"/>
      <c r="I24" s="5"/>
    </row>
    <row r="25" spans="1:9" x14ac:dyDescent="0.35">
      <c r="A25" s="1" t="s">
        <v>140</v>
      </c>
      <c r="B25" s="2">
        <v>15.032</v>
      </c>
      <c r="C25" s="2">
        <v>196.11099999999999</v>
      </c>
      <c r="D25" s="5">
        <f>+VLOOKUP(A25,Sheet6!A:D,4,0)</f>
        <v>0.46312684365781709</v>
      </c>
      <c r="E25" s="5">
        <f t="shared" si="0"/>
        <v>6.9617227138643063E-3</v>
      </c>
      <c r="F25" s="5" cm="1">
        <f t="array" ref="F25">_xlfn.IFS(
    AND(C25&gt;C$535,D25&lt;D$535),1,
    AND(C25&gt;C$535,D25&gt;D$535),2,
    AND(C25&lt;C$535,D25&lt;D$535),4,
    AND(C25&lt;C$535,D25&gt;D$535),3,
    TRUE,""
)</f>
        <v>3</v>
      </c>
      <c r="H25" s="5"/>
      <c r="I25" s="5"/>
    </row>
    <row r="26" spans="1:9" x14ac:dyDescent="0.35">
      <c r="A26" s="1" t="s">
        <v>166</v>
      </c>
      <c r="B26" s="2">
        <v>67.965999999999994</v>
      </c>
      <c r="C26" s="2">
        <v>275.875</v>
      </c>
      <c r="D26" s="5">
        <f>+VLOOKUP(A26,Sheet6!A:D,4,0)</f>
        <v>0.26322839919624919</v>
      </c>
      <c r="E26" s="5">
        <f t="shared" si="0"/>
        <v>1.7890581379772272E-2</v>
      </c>
      <c r="F26" s="5" cm="1">
        <f t="array" ref="F26">_xlfn.IFS(
    AND(C26&gt;C$535,D26&lt;D$535),1,
    AND(C26&gt;C$535,D26&gt;D$535),2,
    AND(C26&lt;C$535,D26&lt;D$535),4,
    AND(C26&lt;C$535,D26&gt;D$535),3,
    TRUE,""
)</f>
        <v>2</v>
      </c>
      <c r="H26" s="5"/>
      <c r="I26" s="5"/>
    </row>
    <row r="27" spans="1:9" x14ac:dyDescent="0.35">
      <c r="A27" s="1" t="s">
        <v>138</v>
      </c>
      <c r="B27" s="1">
        <v>2.5870000000000001E-2</v>
      </c>
      <c r="C27" s="2">
        <v>274.72500000000002</v>
      </c>
      <c r="D27" s="5">
        <f>+VLOOKUP(A27,Sheet6!A:D,4,0)</f>
        <v>0.10642570281124497</v>
      </c>
      <c r="E27" s="5">
        <f t="shared" si="0"/>
        <v>2.7532329317269075E-6</v>
      </c>
      <c r="F27" s="5" cm="1">
        <f t="array" ref="F27">_xlfn.IFS(
    AND(C27&gt;C$535,D27&lt;D$535),1,
    AND(C27&gt;C$535,D27&gt;D$535),2,
    AND(C27&lt;C$535,D27&lt;D$535),4,
    AND(C27&lt;C$535,D27&gt;D$535),3,
    TRUE,""
)</f>
        <v>1</v>
      </c>
      <c r="H27" s="5"/>
      <c r="I27" s="5"/>
    </row>
    <row r="28" spans="1:9" x14ac:dyDescent="0.35">
      <c r="A28" s="1" t="s">
        <v>137</v>
      </c>
      <c r="B28" s="2">
        <v>5.9880000000000004</v>
      </c>
      <c r="C28" s="2">
        <v>438.18400000000003</v>
      </c>
      <c r="D28" s="5">
        <f>+VLOOKUP(A28,Sheet6!A:D,4,0)</f>
        <v>0</v>
      </c>
      <c r="E28" s="5">
        <f t="shared" si="0"/>
        <v>0</v>
      </c>
      <c r="F28" s="5" cm="1">
        <f t="array" ref="F28">_xlfn.IFS(
    AND(C28&gt;C$535,D28&lt;D$535),1,
    AND(C28&gt;C$535,D28&gt;D$535),2,
    AND(C28&lt;C$535,D28&lt;D$535),4,
    AND(C28&lt;C$535,D28&gt;D$535),3,
    TRUE,""
)</f>
        <v>1</v>
      </c>
      <c r="H28" s="5"/>
      <c r="I28" s="5"/>
    </row>
    <row r="29" spans="1:9" x14ac:dyDescent="0.35">
      <c r="A29" s="1" t="s">
        <v>167</v>
      </c>
      <c r="B29" s="2">
        <v>26.335000000000001</v>
      </c>
      <c r="C29" s="2">
        <v>222.749</v>
      </c>
      <c r="D29" s="5">
        <f>+VLOOKUP(A29,Sheet6!A:D,4,0)</f>
        <v>0.35727788279773154</v>
      </c>
      <c r="E29" s="5">
        <f t="shared" si="0"/>
        <v>9.4089130434782606E-3</v>
      </c>
      <c r="F29" s="5" cm="1">
        <f t="array" ref="F29">_xlfn.IFS(
    AND(C29&gt;C$535,D29&lt;D$535),1,
    AND(C29&gt;C$535,D29&gt;D$535),2,
    AND(C29&lt;C$535,D29&lt;D$535),4,
    AND(C29&lt;C$535,D29&gt;D$535),3,
    TRUE,""
)</f>
        <v>3</v>
      </c>
      <c r="H29" s="5"/>
      <c r="I29" s="5"/>
    </row>
    <row r="30" spans="1:9" x14ac:dyDescent="0.35">
      <c r="A30" s="1" t="s">
        <v>168</v>
      </c>
      <c r="B30" s="2">
        <v>63.292000000000002</v>
      </c>
      <c r="C30" s="2">
        <v>294.00299999999999</v>
      </c>
      <c r="D30" s="5">
        <f>+VLOOKUP(A30,Sheet6!A:D,4,0)</f>
        <v>0.10429799426934099</v>
      </c>
      <c r="E30" s="5">
        <f t="shared" si="0"/>
        <v>6.6012286532951296E-3</v>
      </c>
      <c r="F30" s="5" cm="1">
        <f t="array" ref="F30">_xlfn.IFS(
    AND(C30&gt;C$535,D30&lt;D$535),1,
    AND(C30&gt;C$535,D30&gt;D$535),2,
    AND(C30&lt;C$535,D30&lt;D$535),4,
    AND(C30&lt;C$535,D30&gt;D$535),3,
    TRUE,""
)</f>
        <v>1</v>
      </c>
      <c r="H30" s="5"/>
      <c r="I30" s="5"/>
    </row>
    <row r="31" spans="1:9" x14ac:dyDescent="0.35">
      <c r="A31" s="1" t="s">
        <v>169</v>
      </c>
      <c r="B31" s="2">
        <v>4.806</v>
      </c>
      <c r="C31" s="2">
        <v>172.916</v>
      </c>
      <c r="D31" s="5">
        <f>+VLOOKUP(A31,Sheet6!A:D,4,0)</f>
        <v>0.38157894736842102</v>
      </c>
      <c r="E31" s="5">
        <f t="shared" si="0"/>
        <v>1.8338684210526316E-3</v>
      </c>
      <c r="F31" s="5" cm="1">
        <f t="array" ref="F31">_xlfn.IFS(
    AND(C31&gt;C$535,D31&lt;D$535),1,
    AND(C31&gt;C$535,D31&gt;D$535),2,
    AND(C31&lt;C$535,D31&lt;D$535),4,
    AND(C31&lt;C$535,D31&gt;D$535),3,
    TRUE,""
)</f>
        <v>3</v>
      </c>
      <c r="H31" s="5"/>
      <c r="I31" s="5"/>
    </row>
    <row r="32" spans="1:9" x14ac:dyDescent="0.35">
      <c r="A32" s="1" t="s">
        <v>170</v>
      </c>
      <c r="B32" s="2">
        <v>7.2779999999999996</v>
      </c>
      <c r="C32" s="2">
        <v>400.25299999999999</v>
      </c>
      <c r="D32" s="5">
        <f>+VLOOKUP(A32,Sheet6!A:D,4,0)</f>
        <v>0.50199203187250996</v>
      </c>
      <c r="E32" s="5">
        <f t="shared" si="0"/>
        <v>3.6534980079681273E-3</v>
      </c>
      <c r="F32" s="5" cm="1">
        <f t="array" ref="F32">_xlfn.IFS(
    AND(C32&gt;C$535,D32&lt;D$535),1,
    AND(C32&gt;C$535,D32&gt;D$535),2,
    AND(C32&lt;C$535,D32&lt;D$535),4,
    AND(C32&lt;C$535,D32&gt;D$535),3,
    TRUE,""
)</f>
        <v>2</v>
      </c>
      <c r="H32" s="5"/>
      <c r="I32" s="5"/>
    </row>
    <row r="33" spans="1:9" x14ac:dyDescent="0.35">
      <c r="A33" s="1" t="s">
        <v>171</v>
      </c>
      <c r="B33" s="2">
        <v>6.6849999999999996</v>
      </c>
      <c r="C33" s="2">
        <v>212.25399999999999</v>
      </c>
      <c r="D33" s="5">
        <f>+VLOOKUP(A33,Sheet6!A:D,4,0)</f>
        <v>0.28205128205128205</v>
      </c>
      <c r="E33" s="5">
        <f t="shared" si="0"/>
        <v>1.8855128205128204E-3</v>
      </c>
      <c r="F33" s="5" cm="1">
        <f t="array" ref="F33">_xlfn.IFS(
    AND(C33&gt;C$535,D33&lt;D$535),1,
    AND(C33&gt;C$535,D33&gt;D$535),2,
    AND(C33&lt;C$535,D33&lt;D$535),4,
    AND(C33&lt;C$535,D33&gt;D$535),3,
    TRUE,""
)</f>
        <v>3</v>
      </c>
      <c r="H33" s="5"/>
      <c r="I33" s="5"/>
    </row>
    <row r="34" spans="1:9" ht="29" x14ac:dyDescent="0.35">
      <c r="A34" s="1" t="s">
        <v>172</v>
      </c>
      <c r="B34" s="2">
        <v>62.405999999999999</v>
      </c>
      <c r="C34" s="2">
        <v>353.95699999999999</v>
      </c>
      <c r="D34" s="5">
        <f>+VLOOKUP(A34,Sheet6!A:D,4,0)</f>
        <v>0.27426160337552741</v>
      </c>
      <c r="E34" s="5">
        <f t="shared" si="0"/>
        <v>1.7115569620253162E-2</v>
      </c>
      <c r="F34" s="5" cm="1">
        <f t="array" ref="F34">_xlfn.IFS(
    AND(C34&gt;C$535,D34&lt;D$535),1,
    AND(C34&gt;C$535,D34&gt;D$535),2,
    AND(C34&lt;C$535,D34&lt;D$535),4,
    AND(C34&lt;C$535,D34&gt;D$535),3,
    TRUE,""
)</f>
        <v>2</v>
      </c>
      <c r="H34" s="5"/>
      <c r="I34" s="5"/>
    </row>
    <row r="35" spans="1:9" x14ac:dyDescent="0.35">
      <c r="A35" s="1" t="s">
        <v>173</v>
      </c>
      <c r="B35" s="2">
        <v>7.2149999999999999</v>
      </c>
      <c r="C35" s="2">
        <v>222.17599999999999</v>
      </c>
      <c r="D35" s="5">
        <f>+VLOOKUP(A35,Sheet6!A:D,4,0)</f>
        <v>0.20967741935483872</v>
      </c>
      <c r="E35" s="5">
        <f t="shared" si="0"/>
        <v>1.5128225806451613E-3</v>
      </c>
      <c r="F35" s="5" cm="1">
        <f t="array" ref="F35">_xlfn.IFS(
    AND(C35&gt;C$535,D35&lt;D$535),1,
    AND(C35&gt;C$535,D35&gt;D$535),2,
    AND(C35&lt;C$535,D35&lt;D$535),4,
    AND(C35&lt;C$535,D35&gt;D$535),3,
    TRUE,""
)</f>
        <v>4</v>
      </c>
      <c r="H35" s="5"/>
      <c r="I35" s="5"/>
    </row>
    <row r="36" spans="1:9" ht="29" x14ac:dyDescent="0.35">
      <c r="A36" s="1" t="s">
        <v>174</v>
      </c>
      <c r="B36" s="1">
        <v>7.1300000000000001E-3</v>
      </c>
      <c r="C36" s="2">
        <v>239.12200000000001</v>
      </c>
      <c r="D36" s="5">
        <f>+VLOOKUP(A36,Sheet6!A:D,4,0)</f>
        <v>0.47</v>
      </c>
      <c r="E36" s="5">
        <f t="shared" si="0"/>
        <v>3.3510999999999996E-6</v>
      </c>
      <c r="F36" s="5" cm="1">
        <f t="array" ref="F36">_xlfn.IFS(
    AND(C36&gt;C$535,D36&lt;D$535),1,
    AND(C36&gt;C$535,D36&gt;D$535),2,
    AND(C36&lt;C$535,D36&lt;D$535),4,
    AND(C36&lt;C$535,D36&gt;D$535),3,
    TRUE,""
)</f>
        <v>2</v>
      </c>
      <c r="H36" s="5"/>
      <c r="I36" s="5"/>
    </row>
    <row r="37" spans="1:9" x14ac:dyDescent="0.35">
      <c r="A37" s="1" t="s">
        <v>136</v>
      </c>
      <c r="B37" s="2">
        <v>7.8730000000000002</v>
      </c>
      <c r="C37" s="1">
        <v>0.34726000000000001</v>
      </c>
      <c r="D37" s="5">
        <f>+VLOOKUP(A37,Sheet6!A:D,4,0)</f>
        <v>0</v>
      </c>
      <c r="E37" s="5">
        <f t="shared" si="0"/>
        <v>0</v>
      </c>
      <c r="F37" s="5" cm="1">
        <f t="array" ref="F37">_xlfn.IFS(
    AND(C37&gt;C$535,D37&lt;D$535),1,
    AND(C37&gt;C$535,D37&gt;D$535),2,
    AND(C37&lt;C$535,D37&lt;D$535),4,
    AND(C37&lt;C$535,D37&gt;D$535),3,
    TRUE,""
)</f>
        <v>4</v>
      </c>
      <c r="H37" s="5"/>
      <c r="I37" s="5"/>
    </row>
    <row r="38" spans="1:9" x14ac:dyDescent="0.35">
      <c r="A38" s="1" t="s">
        <v>175</v>
      </c>
      <c r="B38" s="2">
        <v>7.1639999999999997</v>
      </c>
      <c r="C38" s="1">
        <v>0.19807</v>
      </c>
      <c r="D38" s="5">
        <f>+VLOOKUP(A38,Sheet6!A:D,4,0)</f>
        <v>0.18699186991869921</v>
      </c>
      <c r="E38" s="5">
        <f t="shared" si="0"/>
        <v>1.3396097560975611E-3</v>
      </c>
      <c r="F38" s="5" cm="1">
        <f t="array" ref="F38">_xlfn.IFS(
    AND(C38&gt;C$535,D38&lt;D$535),1,
    AND(C38&gt;C$535,D38&gt;D$535),2,
    AND(C38&lt;C$535,D38&lt;D$535),4,
    AND(C38&lt;C$535,D38&gt;D$535),3,
    TRUE,""
)</f>
        <v>4</v>
      </c>
      <c r="H38" s="5"/>
      <c r="I38" s="5"/>
    </row>
    <row r="39" spans="1:9" x14ac:dyDescent="0.35">
      <c r="A39" s="12" t="s">
        <v>135</v>
      </c>
      <c r="B39" s="1">
        <v>1.65E-3</v>
      </c>
      <c r="C39" s="2">
        <v>217.03299999999999</v>
      </c>
      <c r="D39" s="5">
        <f>+VLOOKUP(A39,Sheet6!A:D,4,0)</f>
        <v>1</v>
      </c>
      <c r="E39" s="5">
        <f t="shared" si="0"/>
        <v>1.6500000000000001E-6</v>
      </c>
      <c r="F39" s="5" cm="1">
        <f t="array" ref="F39">_xlfn.IFS(
    AND(C39&gt;C$535,D39&lt;D$535),1,
    AND(C39&gt;C$535,D39&gt;D$535),2,
    AND(C39&lt;C$535,D39&lt;D$535),4,
    AND(C39&lt;C$535,D39&gt;D$535),3,
    TRUE,""
)</f>
        <v>3</v>
      </c>
      <c r="H39" s="5"/>
      <c r="I39" s="5"/>
    </row>
    <row r="40" spans="1:9" x14ac:dyDescent="0.35">
      <c r="A40" s="1" t="s">
        <v>134</v>
      </c>
      <c r="B40" s="2">
        <v>24.875</v>
      </c>
      <c r="C40" s="2">
        <v>305.529</v>
      </c>
      <c r="D40" s="5">
        <f>+VLOOKUP(A40,Sheet6!A:D,4,0)</f>
        <v>0.26426426426426425</v>
      </c>
      <c r="E40" s="5">
        <f t="shared" si="0"/>
        <v>6.5735735735735733E-3</v>
      </c>
      <c r="F40" s="5" cm="1">
        <f t="array" ref="F40">_xlfn.IFS(
    AND(C40&gt;C$535,D40&lt;D$535),1,
    AND(C40&gt;C$535,D40&gt;D$535),2,
    AND(C40&lt;C$535,D40&lt;D$535),4,
    AND(C40&lt;C$535,D40&gt;D$535),3,
    TRUE,""
)</f>
        <v>2</v>
      </c>
      <c r="H40" s="5"/>
      <c r="I40" s="5"/>
    </row>
    <row r="41" spans="1:9" x14ac:dyDescent="0.35">
      <c r="A41" s="1" t="s">
        <v>176</v>
      </c>
      <c r="B41" s="2">
        <v>7.1189999999999998</v>
      </c>
      <c r="C41" s="1">
        <v>0.26744000000000001</v>
      </c>
      <c r="D41" s="5">
        <f>+VLOOKUP(A41,Sheet6!A:D,4,0)</f>
        <v>0.16935483870967741</v>
      </c>
      <c r="E41" s="5">
        <f t="shared" si="0"/>
        <v>1.2056370967741933E-3</v>
      </c>
      <c r="F41" s="5" cm="1">
        <f t="array" ref="F41">_xlfn.IFS(
    AND(C41&gt;C$535,D41&lt;D$535),1,
    AND(C41&gt;C$535,D41&gt;D$535),2,
    AND(C41&lt;C$535,D41&lt;D$535),4,
    AND(C41&lt;C$535,D41&gt;D$535),3,
    TRUE,""
)</f>
        <v>4</v>
      </c>
      <c r="H41" s="5"/>
      <c r="I41" s="5"/>
    </row>
    <row r="42" spans="1:9" x14ac:dyDescent="0.35">
      <c r="A42" s="1" t="s">
        <v>177</v>
      </c>
      <c r="B42" s="2">
        <v>14.247</v>
      </c>
      <c r="C42" s="2">
        <v>169.71899999999999</v>
      </c>
      <c r="D42" s="5">
        <f>+VLOOKUP(A42,Sheet6!A:D,4,0)</f>
        <v>0.38423645320197047</v>
      </c>
      <c r="E42" s="5">
        <f t="shared" si="0"/>
        <v>5.4742167487684731E-3</v>
      </c>
      <c r="F42" s="5" cm="1">
        <f t="array" ref="F42">_xlfn.IFS(
    AND(C42&gt;C$535,D42&lt;D$535),1,
    AND(C42&gt;C$535,D42&gt;D$535),2,
    AND(C42&lt;C$535,D42&lt;D$535),4,
    AND(C42&lt;C$535,D42&gt;D$535),3,
    TRUE,""
)</f>
        <v>3</v>
      </c>
      <c r="H42" s="5"/>
      <c r="I42" s="5"/>
    </row>
    <row r="43" spans="1:9" x14ac:dyDescent="0.35">
      <c r="A43" s="1" t="s">
        <v>178</v>
      </c>
      <c r="B43" s="1">
        <v>7.6310000000000003E-2</v>
      </c>
      <c r="C43" s="2">
        <v>338.43400000000003</v>
      </c>
      <c r="D43" s="5">
        <f>+VLOOKUP(A43,Sheet6!A:D,4,0)</f>
        <v>0.18657298985167839</v>
      </c>
      <c r="E43" s="5">
        <f t="shared" si="0"/>
        <v>1.4237384855581578E-5</v>
      </c>
      <c r="F43" s="5" cm="1">
        <f t="array" ref="F43">_xlfn.IFS(
    AND(C43&gt;C$535,D43&lt;D$535),1,
    AND(C43&gt;C$535,D43&gt;D$535),2,
    AND(C43&lt;C$535,D43&lt;D$535),4,
    AND(C43&lt;C$535,D43&gt;D$535),3,
    TRUE,""
)</f>
        <v>1</v>
      </c>
      <c r="H43" s="5"/>
      <c r="I43" s="5"/>
    </row>
    <row r="44" spans="1:9" x14ac:dyDescent="0.35">
      <c r="A44" s="1" t="s">
        <v>133</v>
      </c>
      <c r="B44" s="2">
        <v>13.339</v>
      </c>
      <c r="C44" s="2">
        <v>349.05900000000003</v>
      </c>
      <c r="D44" s="5">
        <f>+VLOOKUP(A44,Sheet6!A:D,4,0)</f>
        <v>0.20189274447949529</v>
      </c>
      <c r="E44" s="5">
        <f t="shared" si="0"/>
        <v>2.693047318611988E-3</v>
      </c>
      <c r="F44" s="5" cm="1">
        <f t="array" ref="F44">_xlfn.IFS(
    AND(C44&gt;C$535,D44&lt;D$535),1,
    AND(C44&gt;C$535,D44&gt;D$535),2,
    AND(C44&lt;C$535,D44&lt;D$535),4,
    AND(C44&lt;C$535,D44&gt;D$535),3,
    TRUE,""
)</f>
        <v>1</v>
      </c>
      <c r="H44" s="5"/>
      <c r="I44" s="5"/>
    </row>
    <row r="45" spans="1:9" x14ac:dyDescent="0.35">
      <c r="A45" s="1" t="s">
        <v>179</v>
      </c>
      <c r="B45" s="2">
        <v>3.899</v>
      </c>
      <c r="C45" s="2">
        <v>219.03899999999999</v>
      </c>
      <c r="D45" s="5">
        <f>+VLOOKUP(A45,Sheet6!A:D,4,0)</f>
        <v>0.28865979381443302</v>
      </c>
      <c r="E45" s="5">
        <f t="shared" si="0"/>
        <v>1.1254845360824744E-3</v>
      </c>
      <c r="F45" s="5" cm="1">
        <f t="array" ref="F45">_xlfn.IFS(
    AND(C45&gt;C$535,D45&lt;D$535),1,
    AND(C45&gt;C$535,D45&gt;D$535),2,
    AND(C45&lt;C$535,D45&lt;D$535),4,
    AND(C45&lt;C$535,D45&gt;D$535),3,
    TRUE,""
)</f>
        <v>3</v>
      </c>
      <c r="H45" s="5"/>
      <c r="I45" s="5"/>
    </row>
    <row r="46" spans="1:9" x14ac:dyDescent="0.35">
      <c r="A46" s="1" t="s">
        <v>180</v>
      </c>
      <c r="B46" s="2">
        <v>14.101000000000001</v>
      </c>
      <c r="C46" s="1">
        <v>0.23807</v>
      </c>
      <c r="D46" s="5">
        <f>+VLOOKUP(A46,Sheet6!A:D,4,0)</f>
        <v>0.37047353760445684</v>
      </c>
      <c r="E46" s="5">
        <f t="shared" si="0"/>
        <v>5.2240473537604462E-3</v>
      </c>
      <c r="F46" s="5" cm="1">
        <f t="array" ref="F46">_xlfn.IFS(
    AND(C46&gt;C$535,D46&lt;D$535),1,
    AND(C46&gt;C$535,D46&gt;D$535),2,
    AND(C46&lt;C$535,D46&lt;D$535),4,
    AND(C46&lt;C$535,D46&gt;D$535),3,
    TRUE,""
)</f>
        <v>3</v>
      </c>
      <c r="H46" s="5"/>
      <c r="I46" s="5"/>
    </row>
    <row r="47" spans="1:9" x14ac:dyDescent="0.35">
      <c r="A47" s="1" t="s">
        <v>181</v>
      </c>
      <c r="B47" s="1">
        <v>1.6730000000000002E-2</v>
      </c>
      <c r="C47" s="2">
        <v>263.89299999999997</v>
      </c>
      <c r="D47" s="5">
        <f>+VLOOKUP(A47,Sheet6!A:D,4,0)</f>
        <v>0.17615658362989323</v>
      </c>
      <c r="E47" s="5">
        <f t="shared" si="0"/>
        <v>2.9470996441281138E-6</v>
      </c>
      <c r="F47" s="5" cm="1">
        <f t="array" ref="F47">_xlfn.IFS(
    AND(C47&gt;C$535,D47&lt;D$535),1,
    AND(C47&gt;C$535,D47&gt;D$535),2,
    AND(C47&lt;C$535,D47&lt;D$535),4,
    AND(C47&lt;C$535,D47&gt;D$535),3,
    TRUE,""
)</f>
        <v>1</v>
      </c>
      <c r="H47" s="5"/>
      <c r="I47" s="5"/>
    </row>
    <row r="48" spans="1:9" x14ac:dyDescent="0.35">
      <c r="A48" s="1" t="s">
        <v>182</v>
      </c>
      <c r="B48" s="2">
        <v>7.2530000000000001</v>
      </c>
      <c r="C48" s="2">
        <v>258.916</v>
      </c>
      <c r="D48" s="5">
        <f>+VLOOKUP(A48,Sheet6!A:D,4,0)</f>
        <v>7.407407407407407E-2</v>
      </c>
      <c r="E48" s="5">
        <f t="shared" si="0"/>
        <v>5.3725925925925924E-4</v>
      </c>
      <c r="F48" s="5" cm="1">
        <f t="array" ref="F48">_xlfn.IFS(
    AND(C48&gt;C$535,D48&lt;D$535),1,
    AND(C48&gt;C$535,D48&gt;D$535),2,
    AND(C48&lt;C$535,D48&lt;D$535),4,
    AND(C48&lt;C$535,D48&gt;D$535),3,
    TRUE,""
)</f>
        <v>1</v>
      </c>
      <c r="H48" s="5"/>
      <c r="I48" s="5"/>
    </row>
    <row r="49" spans="1:9" x14ac:dyDescent="0.35">
      <c r="A49" s="1" t="s">
        <v>183</v>
      </c>
      <c r="B49" s="2">
        <v>52.433999999999997</v>
      </c>
      <c r="C49" s="2">
        <v>260.27100000000002</v>
      </c>
      <c r="D49" s="5">
        <f>+VLOOKUP(A49,Sheet6!A:D,4,0)</f>
        <v>0.27554438860971525</v>
      </c>
      <c r="E49" s="5">
        <f t="shared" si="0"/>
        <v>1.4447894472361809E-2</v>
      </c>
      <c r="F49" s="5" cm="1">
        <f t="array" ref="F49">_xlfn.IFS(
    AND(C49&gt;C$535,D49&lt;D$535),1,
    AND(C49&gt;C$535,D49&gt;D$535),2,
    AND(C49&lt;C$535,D49&lt;D$535),4,
    AND(C49&lt;C$535,D49&gt;D$535),3,
    TRUE,""
)</f>
        <v>2</v>
      </c>
      <c r="H49" s="5"/>
      <c r="I49" s="5"/>
    </row>
    <row r="50" spans="1:9" x14ac:dyDescent="0.35">
      <c r="A50" s="1" t="s">
        <v>184</v>
      </c>
      <c r="B50" s="2">
        <v>64.006</v>
      </c>
      <c r="C50" s="2">
        <v>277.02100000000002</v>
      </c>
      <c r="D50" s="5">
        <f>+VLOOKUP(A50,Sheet6!A:D,4,0)</f>
        <v>0.19506597819850832</v>
      </c>
      <c r="E50" s="5">
        <f t="shared" si="0"/>
        <v>1.2485393000573724E-2</v>
      </c>
      <c r="F50" s="5" cm="1">
        <f t="array" ref="F50">_xlfn.IFS(
    AND(C50&gt;C$535,D50&lt;D$535),1,
    AND(C50&gt;C$535,D50&gt;D$535),2,
    AND(C50&lt;C$535,D50&lt;D$535),4,
    AND(C50&lt;C$535,D50&gt;D$535),3,
    TRUE,""
)</f>
        <v>1</v>
      </c>
      <c r="H50" s="5"/>
      <c r="I50" s="5"/>
    </row>
    <row r="51" spans="1:9" x14ac:dyDescent="0.35">
      <c r="A51" s="1" t="s">
        <v>132</v>
      </c>
      <c r="B51" s="2">
        <v>9.5239999999999991</v>
      </c>
      <c r="C51" s="2">
        <v>329.07600000000002</v>
      </c>
      <c r="D51" s="5">
        <f>+VLOOKUP(A51,Sheet6!A:D,4,0)</f>
        <v>0.12406015037593984</v>
      </c>
      <c r="E51" s="5">
        <f t="shared" si="0"/>
        <v>1.1815488721804511E-3</v>
      </c>
      <c r="F51" s="5" cm="1">
        <f t="array" ref="F51">_xlfn.IFS(
    AND(C51&gt;C$535,D51&lt;D$535),1,
    AND(C51&gt;C$535,D51&gt;D$535),2,
    AND(C51&lt;C$535,D51&lt;D$535),4,
    AND(C51&lt;C$535,D51&gt;D$535),3,
    TRUE,""
)</f>
        <v>1</v>
      </c>
      <c r="H51" s="5"/>
      <c r="I51" s="5"/>
    </row>
    <row r="52" spans="1:9" x14ac:dyDescent="0.35">
      <c r="A52" s="1" t="s">
        <v>185</v>
      </c>
      <c r="B52" s="2">
        <v>71.498999999999995</v>
      </c>
      <c r="C52" s="2">
        <v>305.07900000000001</v>
      </c>
      <c r="D52" s="5">
        <f>+VLOOKUP(A52,Sheet6!A:D,4,0)</f>
        <v>0.19910514541387025</v>
      </c>
      <c r="E52" s="5">
        <f t="shared" si="0"/>
        <v>1.4235818791946308E-2</v>
      </c>
      <c r="F52" s="5" cm="1">
        <f t="array" ref="F52">_xlfn.IFS(
    AND(C52&gt;C$535,D52&lt;D$535),1,
    AND(C52&gt;C$535,D52&gt;D$535),2,
    AND(C52&lt;C$535,D52&lt;D$535),4,
    AND(C52&lt;C$535,D52&gt;D$535),3,
    TRUE,""
)</f>
        <v>1</v>
      </c>
      <c r="H52" s="5"/>
      <c r="I52" s="5"/>
    </row>
    <row r="53" spans="1:9" x14ac:dyDescent="0.35">
      <c r="A53" s="1" t="s">
        <v>131</v>
      </c>
      <c r="B53" s="2">
        <v>7.298</v>
      </c>
      <c r="C53" s="2">
        <v>233.61099999999999</v>
      </c>
      <c r="D53" s="5">
        <f>+VLOOKUP(A53,Sheet6!A:D,4,0)</f>
        <v>0.41035856573705182</v>
      </c>
      <c r="E53" s="5">
        <f t="shared" si="0"/>
        <v>2.994796812749004E-3</v>
      </c>
      <c r="F53" s="5" cm="1">
        <f t="array" ref="F53">_xlfn.IFS(
    AND(C53&gt;C$535,D53&lt;D$535),1,
    AND(C53&gt;C$535,D53&gt;D$535),2,
    AND(C53&lt;C$535,D53&lt;D$535),4,
    AND(C53&lt;C$535,D53&gt;D$535),3,
    TRUE,""
)</f>
        <v>3</v>
      </c>
      <c r="H53" s="5"/>
      <c r="I53" s="5"/>
    </row>
    <row r="54" spans="1:9" x14ac:dyDescent="0.35">
      <c r="A54" s="1" t="s">
        <v>186</v>
      </c>
      <c r="B54" s="2">
        <v>7.1559999999999997</v>
      </c>
      <c r="C54" s="2">
        <v>186.14500000000001</v>
      </c>
      <c r="D54" s="5">
        <f>+VLOOKUP(A54,Sheet6!A:D,4,0)</f>
        <v>0.39086294416243655</v>
      </c>
      <c r="E54" s="5">
        <f t="shared" si="0"/>
        <v>2.7970152284263962E-3</v>
      </c>
      <c r="F54" s="5" cm="1">
        <f t="array" ref="F54">_xlfn.IFS(
    AND(C54&gt;C$535,D54&lt;D$535),1,
    AND(C54&gt;C$535,D54&gt;D$535),2,
    AND(C54&lt;C$535,D54&lt;D$535),4,
    AND(C54&lt;C$535,D54&gt;D$535),3,
    TRUE,""
)</f>
        <v>3</v>
      </c>
      <c r="H54" s="5"/>
      <c r="I54" s="5"/>
    </row>
    <row r="55" spans="1:9" x14ac:dyDescent="0.35">
      <c r="A55" s="1" t="s">
        <v>187</v>
      </c>
      <c r="B55" s="2">
        <v>59.451000000000001</v>
      </c>
      <c r="C55" s="2">
        <v>335.66899999999998</v>
      </c>
      <c r="D55" s="5">
        <f>+VLOOKUP(A55,Sheet6!A:D,4,0)</f>
        <v>0.12776176753121998</v>
      </c>
      <c r="E55" s="5">
        <f t="shared" si="0"/>
        <v>7.5955648414985592E-3</v>
      </c>
      <c r="F55" s="5" cm="1">
        <f t="array" ref="F55">_xlfn.IFS(
    AND(C55&gt;C$535,D55&lt;D$535),1,
    AND(C55&gt;C$535,D55&gt;D$535),2,
    AND(C55&lt;C$535,D55&lt;D$535),4,
    AND(C55&lt;C$535,D55&gt;D$535),3,
    TRUE,""
)</f>
        <v>1</v>
      </c>
      <c r="H55" s="5"/>
      <c r="I55" s="5"/>
    </row>
    <row r="56" spans="1:9" x14ac:dyDescent="0.35">
      <c r="A56" s="1" t="s">
        <v>188</v>
      </c>
      <c r="B56" s="2">
        <v>4.9619999999999997</v>
      </c>
      <c r="C56" s="2">
        <v>264.21199999999999</v>
      </c>
      <c r="D56" s="5">
        <f>+VLOOKUP(A56,Sheet6!A:D,4,0)</f>
        <v>0</v>
      </c>
      <c r="E56" s="5">
        <f t="shared" si="0"/>
        <v>0</v>
      </c>
      <c r="F56" s="5" cm="1">
        <f t="array" ref="F56">_xlfn.IFS(
    AND(C56&gt;C$535,D56&lt;D$535),1,
    AND(C56&gt;C$535,D56&gt;D$535),2,
    AND(C56&lt;C$535,D56&lt;D$535),4,
    AND(C56&lt;C$535,D56&gt;D$535),3,
    TRUE,""
)</f>
        <v>1</v>
      </c>
      <c r="H56" s="5"/>
      <c r="I56" s="5"/>
    </row>
    <row r="57" spans="1:9" x14ac:dyDescent="0.35">
      <c r="A57" s="1" t="s">
        <v>189</v>
      </c>
      <c r="B57" s="2">
        <v>32.151000000000003</v>
      </c>
      <c r="C57" s="2">
        <v>419.92099999999999</v>
      </c>
      <c r="D57" s="5">
        <f>+VLOOKUP(A57,Sheet6!A:D,4,0)</f>
        <v>0.18386491557223264</v>
      </c>
      <c r="E57" s="5">
        <f t="shared" si="0"/>
        <v>5.9114409005628522E-3</v>
      </c>
      <c r="F57" s="5" cm="1">
        <f t="array" ref="F57">_xlfn.IFS(
    AND(C57&gt;C$535,D57&lt;D$535),1,
    AND(C57&gt;C$535,D57&gt;D$535),2,
    AND(C57&lt;C$535,D57&lt;D$535),4,
    AND(C57&lt;C$535,D57&gt;D$535),3,
    TRUE,""
)</f>
        <v>1</v>
      </c>
      <c r="H57" s="5"/>
      <c r="I57" s="5"/>
    </row>
    <row r="58" spans="1:9" x14ac:dyDescent="0.35">
      <c r="A58" s="1" t="s">
        <v>190</v>
      </c>
      <c r="B58" s="2">
        <v>73.887</v>
      </c>
      <c r="C58" s="2">
        <v>343.30700000000002</v>
      </c>
      <c r="D58" s="5">
        <f>+VLOOKUP(A58,Sheet6!A:D,4,0)</f>
        <v>0.26111111111111113</v>
      </c>
      <c r="E58" s="5">
        <f t="shared" si="0"/>
        <v>1.9292716666666668E-2</v>
      </c>
      <c r="F58" s="5" cm="1">
        <f t="array" ref="F58">_xlfn.IFS(
    AND(C58&gt;C$535,D58&lt;D$535),1,
    AND(C58&gt;C$535,D58&gt;D$535),2,
    AND(C58&lt;C$535,D58&lt;D$535),4,
    AND(C58&lt;C$535,D58&gt;D$535),3,
    TRUE,""
)</f>
        <v>2</v>
      </c>
      <c r="H58" s="5"/>
      <c r="I58" s="5"/>
    </row>
    <row r="59" spans="1:9" ht="29" x14ac:dyDescent="0.35">
      <c r="A59" s="1" t="s">
        <v>191</v>
      </c>
      <c r="B59" s="2">
        <v>7.0609999999999999</v>
      </c>
      <c r="C59" s="2">
        <v>127.32599999999999</v>
      </c>
      <c r="D59" s="5">
        <f>+VLOOKUP(A59,Sheet6!A:D,4,0)</f>
        <v>0.32038834951456313</v>
      </c>
      <c r="E59" s="5">
        <f t="shared" si="0"/>
        <v>2.2622621359223299E-3</v>
      </c>
      <c r="F59" s="5" cm="1">
        <f t="array" ref="F59">_xlfn.IFS(
    AND(C59&gt;C$535,D59&lt;D$535),1,
    AND(C59&gt;C$535,D59&gt;D$535),2,
    AND(C59&lt;C$535,D59&lt;D$535),4,
    AND(C59&lt;C$535,D59&gt;D$535),3,
    TRUE,""
)</f>
        <v>3</v>
      </c>
      <c r="H59" s="5"/>
      <c r="I59" s="5"/>
    </row>
    <row r="60" spans="1:9" x14ac:dyDescent="0.35">
      <c r="A60" s="1" t="s">
        <v>192</v>
      </c>
      <c r="B60" s="2">
        <v>61.835999999999999</v>
      </c>
      <c r="C60" s="2">
        <v>212.38499999999999</v>
      </c>
      <c r="D60" s="5">
        <f>+VLOOKUP(A60,Sheet6!A:D,4,0)</f>
        <v>0.27211343686698175</v>
      </c>
      <c r="E60" s="5">
        <f t="shared" si="0"/>
        <v>1.6826406482106683E-2</v>
      </c>
      <c r="F60" s="5" cm="1">
        <f t="array" ref="F60">_xlfn.IFS(
    AND(C60&gt;C$535,D60&lt;D$535),1,
    AND(C60&gt;C$535,D60&gt;D$535),2,
    AND(C60&lt;C$535,D60&lt;D$535),4,
    AND(C60&lt;C$535,D60&gt;D$535),3,
    TRUE,""
)</f>
        <v>3</v>
      </c>
      <c r="H60" s="5"/>
      <c r="I60" s="5"/>
    </row>
    <row r="61" spans="1:9" x14ac:dyDescent="0.35">
      <c r="A61" s="1" t="s">
        <v>193</v>
      </c>
      <c r="B61" s="2">
        <v>2.8660000000000001</v>
      </c>
      <c r="C61" s="2">
        <v>187.352</v>
      </c>
      <c r="D61" s="5">
        <f>+VLOOKUP(A61,Sheet6!A:D,4,0)</f>
        <v>0.44444444444444442</v>
      </c>
      <c r="E61" s="5">
        <f t="shared" si="0"/>
        <v>1.2737777777777778E-3</v>
      </c>
      <c r="F61" s="5" cm="1">
        <f t="array" ref="F61">_xlfn.IFS(
    AND(C61&gt;C$535,D61&lt;D$535),1,
    AND(C61&gt;C$535,D61&gt;D$535),2,
    AND(C61&lt;C$535,D61&lt;D$535),4,
    AND(C61&lt;C$535,D61&gt;D$535),3,
    TRUE,""
)</f>
        <v>3</v>
      </c>
      <c r="H61" s="5"/>
      <c r="I61" s="5"/>
    </row>
    <row r="62" spans="1:9" x14ac:dyDescent="0.35">
      <c r="A62" s="1" t="s">
        <v>194</v>
      </c>
      <c r="B62" s="2">
        <v>48.786000000000001</v>
      </c>
      <c r="C62" s="1">
        <v>0.31963999999999998</v>
      </c>
      <c r="D62" s="5">
        <f>+VLOOKUP(A62,Sheet6!A:D,4,0)</f>
        <v>0.16016427104722794</v>
      </c>
      <c r="E62" s="5">
        <f t="shared" si="0"/>
        <v>7.8137741273100626E-3</v>
      </c>
      <c r="F62" s="5" cm="1">
        <f t="array" ref="F62">_xlfn.IFS(
    AND(C62&gt;C$535,D62&lt;D$535),1,
    AND(C62&gt;C$535,D62&gt;D$535),2,
    AND(C62&lt;C$535,D62&lt;D$535),4,
    AND(C62&lt;C$535,D62&gt;D$535),3,
    TRUE,""
)</f>
        <v>4</v>
      </c>
      <c r="H62" s="5"/>
      <c r="I62" s="5"/>
    </row>
    <row r="63" spans="1:9" x14ac:dyDescent="0.35">
      <c r="A63" s="1" t="s">
        <v>195</v>
      </c>
      <c r="B63" s="2">
        <v>43.651000000000003</v>
      </c>
      <c r="C63" s="2">
        <v>281.09199999999998</v>
      </c>
      <c r="D63" s="5">
        <f>+VLOOKUP(A63,Sheet6!A:D,4,0)</f>
        <v>0.21306376360808713</v>
      </c>
      <c r="E63" s="5">
        <f t="shared" si="0"/>
        <v>9.3004463452566119E-3</v>
      </c>
      <c r="F63" s="5" cm="1">
        <f t="array" ref="F63">_xlfn.IFS(
    AND(C63&gt;C$535,D63&lt;D$535),1,
    AND(C63&gt;C$535,D63&gt;D$535),2,
    AND(C63&lt;C$535,D63&lt;D$535),4,
    AND(C63&lt;C$535,D63&gt;D$535),3,
    TRUE,""
)</f>
        <v>1</v>
      </c>
      <c r="H63" s="5"/>
      <c r="I63" s="5"/>
    </row>
    <row r="64" spans="1:9" x14ac:dyDescent="0.35">
      <c r="A64" s="1" t="s">
        <v>196</v>
      </c>
      <c r="B64" s="2">
        <v>59.802999999999997</v>
      </c>
      <c r="C64" s="1">
        <v>0.24165999999999999</v>
      </c>
      <c r="D64" s="5">
        <f>+VLOOKUP(A64,Sheet6!A:D,4,0)</f>
        <v>0.12252663622526637</v>
      </c>
      <c r="E64" s="5">
        <f t="shared" si="0"/>
        <v>7.3274604261796038E-3</v>
      </c>
      <c r="F64" s="5" cm="1">
        <f t="array" ref="F64">_xlfn.IFS(
    AND(C64&gt;C$535,D64&lt;D$535),1,
    AND(C64&gt;C$535,D64&gt;D$535),2,
    AND(C64&lt;C$535,D64&lt;D$535),4,
    AND(C64&lt;C$535,D64&gt;D$535),3,
    TRUE,""
)</f>
        <v>4</v>
      </c>
      <c r="H64" s="5"/>
      <c r="I64" s="5"/>
    </row>
    <row r="65" spans="1:9" x14ac:dyDescent="0.35">
      <c r="A65" s="1" t="s">
        <v>197</v>
      </c>
      <c r="B65" s="2">
        <v>22.998000000000001</v>
      </c>
      <c r="C65" s="2">
        <v>291.28300000000002</v>
      </c>
      <c r="D65" s="5">
        <f>+VLOOKUP(A65,Sheet6!A:D,4,0)</f>
        <v>0.19968051118210864</v>
      </c>
      <c r="E65" s="5">
        <f t="shared" si="0"/>
        <v>4.5922523961661344E-3</v>
      </c>
      <c r="F65" s="5" cm="1">
        <f t="array" ref="F65">_xlfn.IFS(
    AND(C65&gt;C$535,D65&lt;D$535),1,
    AND(C65&gt;C$535,D65&gt;D$535),2,
    AND(C65&lt;C$535,D65&lt;D$535),4,
    AND(C65&lt;C$535,D65&gt;D$535),3,
    TRUE,""
)</f>
        <v>1</v>
      </c>
      <c r="H65" s="5"/>
      <c r="I65" s="5"/>
    </row>
    <row r="66" spans="1:9" ht="29" x14ac:dyDescent="0.35">
      <c r="A66" s="1" t="s">
        <v>198</v>
      </c>
      <c r="B66" s="2">
        <v>42.112000000000002</v>
      </c>
      <c r="C66" s="2">
        <v>251.023</v>
      </c>
      <c r="D66" s="5">
        <f>+VLOOKUP(A66,Sheet6!A:D,4,0)</f>
        <v>0.19103773584905662</v>
      </c>
      <c r="E66" s="5">
        <f t="shared" ref="E66:E129" si="1">(B66*D66)/1000</f>
        <v>8.0449811320754717E-3</v>
      </c>
      <c r="F66" s="5" cm="1">
        <f t="array" ref="F66">_xlfn.IFS(
    AND(C66&gt;C$535,D66&lt;D$535),1,
    AND(C66&gt;C$535,D66&gt;D$535),2,
    AND(C66&lt;C$535,D66&lt;D$535),4,
    AND(C66&lt;C$535,D66&gt;D$535),3,
    TRUE,""
)</f>
        <v>1</v>
      </c>
      <c r="H66" s="5"/>
      <c r="I66" s="5"/>
    </row>
    <row r="67" spans="1:9" x14ac:dyDescent="0.35">
      <c r="A67" s="1" t="s">
        <v>199</v>
      </c>
      <c r="B67" s="2">
        <v>31.696999999999999</v>
      </c>
      <c r="C67" s="2">
        <v>438.62099999999998</v>
      </c>
      <c r="D67" s="5">
        <f>+VLOOKUP(A67,Sheet6!A:D,4,0)</f>
        <v>0.25125628140703521</v>
      </c>
      <c r="E67" s="5">
        <f t="shared" si="1"/>
        <v>7.9640703517587941E-3</v>
      </c>
      <c r="F67" s="5" cm="1">
        <f t="array" ref="F67">_xlfn.IFS(
    AND(C67&gt;C$535,D67&lt;D$535),1,
    AND(C67&gt;C$535,D67&gt;D$535),2,
    AND(C67&lt;C$535,D67&lt;D$535),4,
    AND(C67&lt;C$535,D67&gt;D$535),3,
    TRUE,""
)</f>
        <v>1</v>
      </c>
      <c r="H67" s="5"/>
      <c r="I67" s="5"/>
    </row>
    <row r="68" spans="1:9" ht="29" x14ac:dyDescent="0.35">
      <c r="A68" s="1" t="s">
        <v>200</v>
      </c>
      <c r="B68" s="1">
        <v>7.1399999999999996E-3</v>
      </c>
      <c r="C68" s="2">
        <v>201.131</v>
      </c>
      <c r="D68" s="5">
        <f>+VLOOKUP(A68,Sheet6!A:D,4,0)</f>
        <v>0.12727272727272726</v>
      </c>
      <c r="E68" s="5">
        <f t="shared" si="1"/>
        <v>9.0872727272727267E-7</v>
      </c>
      <c r="F68" s="5" cm="1">
        <f t="array" ref="F68">_xlfn.IFS(
    AND(C68&gt;C$535,D68&lt;D$535),1,
    AND(C68&gt;C$535,D68&gt;D$535),2,
    AND(C68&lt;C$535,D68&lt;D$535),4,
    AND(C68&lt;C$535,D68&gt;D$535),3,
    TRUE,""
)</f>
        <v>4</v>
      </c>
      <c r="H68" s="5"/>
      <c r="I68" s="5"/>
    </row>
    <row r="69" spans="1:9" x14ac:dyDescent="0.35">
      <c r="A69" s="1" t="s">
        <v>201</v>
      </c>
      <c r="B69" s="1">
        <v>3.3189999999999997E-2</v>
      </c>
      <c r="C69" s="2">
        <v>326.02699999999999</v>
      </c>
      <c r="D69" s="5">
        <f>+VLOOKUP(A69,Sheet6!A:D,4,0)</f>
        <v>0.55493630573248398</v>
      </c>
      <c r="E69" s="5">
        <f t="shared" si="1"/>
        <v>1.8418335987261141E-5</v>
      </c>
      <c r="F69" s="5" cm="1">
        <f t="array" ref="F69">_xlfn.IFS(
    AND(C69&gt;C$535,D69&lt;D$535),1,
    AND(C69&gt;C$535,D69&gt;D$535),2,
    AND(C69&lt;C$535,D69&lt;D$535),4,
    AND(C69&lt;C$535,D69&gt;D$535),3,
    TRUE,""
)</f>
        <v>2</v>
      </c>
      <c r="H69" s="5"/>
      <c r="I69" s="5"/>
    </row>
    <row r="70" spans="1:9" x14ac:dyDescent="0.35">
      <c r="A70" s="1" t="s">
        <v>202</v>
      </c>
      <c r="B70" s="2">
        <v>6.8970000000000002</v>
      </c>
      <c r="C70" s="2">
        <v>229.37899999999999</v>
      </c>
      <c r="D70" s="5">
        <f>+VLOOKUP(A70,Sheet6!A:D,4,0)</f>
        <v>0.27456647398843931</v>
      </c>
      <c r="E70" s="5">
        <f t="shared" si="1"/>
        <v>1.8936849710982659E-3</v>
      </c>
      <c r="F70" s="5" cm="1">
        <f t="array" ref="F70">_xlfn.IFS(
    AND(C70&gt;C$535,D70&lt;D$535),1,
    AND(C70&gt;C$535,D70&gt;D$535),2,
    AND(C70&lt;C$535,D70&lt;D$535),4,
    AND(C70&lt;C$535,D70&gt;D$535),3,
    TRUE,""
)</f>
        <v>3</v>
      </c>
      <c r="H70" s="5"/>
      <c r="I70" s="5"/>
    </row>
    <row r="71" spans="1:9" ht="29" x14ac:dyDescent="0.35">
      <c r="A71" s="1" t="s">
        <v>203</v>
      </c>
      <c r="B71" s="2">
        <v>56.698999999999998</v>
      </c>
      <c r="C71" s="2">
        <v>218.416</v>
      </c>
      <c r="D71" s="5">
        <f>+VLOOKUP(A71,Sheet6!A:D,4,0)</f>
        <v>0.19002822201317027</v>
      </c>
      <c r="E71" s="5">
        <f t="shared" si="1"/>
        <v>1.0774410159924742E-2</v>
      </c>
      <c r="F71" s="5" cm="1">
        <f t="array" ref="F71">_xlfn.IFS(
    AND(C71&gt;C$535,D71&lt;D$535),1,
    AND(C71&gt;C$535,D71&gt;D$535),2,
    AND(C71&lt;C$535,D71&lt;D$535),4,
    AND(C71&lt;C$535,D71&gt;D$535),3,
    TRUE,""
)</f>
        <v>4</v>
      </c>
      <c r="H71" s="5"/>
      <c r="I71" s="5"/>
    </row>
    <row r="72" spans="1:9" x14ac:dyDescent="0.35">
      <c r="A72" s="1" t="s">
        <v>204</v>
      </c>
      <c r="B72" s="2">
        <v>69.650999999999996</v>
      </c>
      <c r="C72" s="2">
        <v>195.20099999999999</v>
      </c>
      <c r="D72" s="5">
        <f>+VLOOKUP(A72,Sheet6!A:D,4,0)</f>
        <v>0.21775147928994085</v>
      </c>
      <c r="E72" s="5">
        <f t="shared" si="1"/>
        <v>1.5166608284023669E-2</v>
      </c>
      <c r="F72" s="5" cm="1">
        <f t="array" ref="F72">_xlfn.IFS(
    AND(C72&gt;C$535,D72&lt;D$535),1,
    AND(C72&gt;C$535,D72&gt;D$535),2,
    AND(C72&lt;C$535,D72&lt;D$535),4,
    AND(C72&lt;C$535,D72&gt;D$535),3,
    TRUE,""
)</f>
        <v>4</v>
      </c>
      <c r="H72" s="5"/>
      <c r="I72" s="5"/>
    </row>
    <row r="73" spans="1:9" ht="29" x14ac:dyDescent="0.35">
      <c r="A73" s="1" t="s">
        <v>205</v>
      </c>
      <c r="B73" s="2">
        <v>57.405999999999999</v>
      </c>
      <c r="C73" s="2">
        <v>349.65300000000002</v>
      </c>
      <c r="D73" s="5">
        <f>+VLOOKUP(A73,Sheet6!A:D,4,0)</f>
        <v>0.32615384615384618</v>
      </c>
      <c r="E73" s="5">
        <f t="shared" si="1"/>
        <v>1.8723187692307693E-2</v>
      </c>
      <c r="F73" s="5" cm="1">
        <f t="array" ref="F73">_xlfn.IFS(
    AND(C73&gt;C$535,D73&lt;D$535),1,
    AND(C73&gt;C$535,D73&gt;D$535),2,
    AND(C73&lt;C$535,D73&lt;D$535),4,
    AND(C73&lt;C$535,D73&gt;D$535),3,
    TRUE,""
)</f>
        <v>2</v>
      </c>
      <c r="H73" s="5"/>
      <c r="I73" s="5"/>
    </row>
    <row r="74" spans="1:9" ht="29" x14ac:dyDescent="0.35">
      <c r="A74" s="1" t="s">
        <v>130</v>
      </c>
      <c r="B74" s="2">
        <v>20.664000000000001</v>
      </c>
      <c r="C74" s="2">
        <v>397.94400000000002</v>
      </c>
      <c r="D74" s="5">
        <f>+VLOOKUP(A74,Sheet6!A:D,4,0)</f>
        <v>5.080213903743315E-2</v>
      </c>
      <c r="E74" s="5">
        <f t="shared" si="1"/>
        <v>1.0497754010695187E-3</v>
      </c>
      <c r="F74" s="5" cm="1">
        <f t="array" ref="F74">_xlfn.IFS(
    AND(C74&gt;C$535,D74&lt;D$535),1,
    AND(C74&gt;C$535,D74&gt;D$535),2,
    AND(C74&lt;C$535,D74&lt;D$535),4,
    AND(C74&lt;C$535,D74&gt;D$535),3,
    TRUE,""
)</f>
        <v>1</v>
      </c>
      <c r="H74" s="5"/>
      <c r="I74" s="5"/>
    </row>
    <row r="75" spans="1:9" x14ac:dyDescent="0.35">
      <c r="A75" s="1" t="s">
        <v>206</v>
      </c>
      <c r="B75" s="2">
        <v>29.704999999999998</v>
      </c>
      <c r="C75" s="2">
        <v>255.57900000000001</v>
      </c>
      <c r="D75" s="5">
        <f>+VLOOKUP(A75,Sheet6!A:D,4,0)</f>
        <v>0.37914691943127965</v>
      </c>
      <c r="E75" s="5">
        <f t="shared" si="1"/>
        <v>1.1262559241706162E-2</v>
      </c>
      <c r="F75" s="5" cm="1">
        <f t="array" ref="F75">_xlfn.IFS(
    AND(C75&gt;C$535,D75&lt;D$535),1,
    AND(C75&gt;C$535,D75&gt;D$535),2,
    AND(C75&lt;C$535,D75&lt;D$535),4,
    AND(C75&lt;C$535,D75&gt;D$535),3,
    TRUE,""
)</f>
        <v>2</v>
      </c>
      <c r="H75" s="5"/>
      <c r="I75" s="5"/>
    </row>
    <row r="76" spans="1:9" ht="29" x14ac:dyDescent="0.35">
      <c r="A76" s="1" t="s">
        <v>207</v>
      </c>
      <c r="B76" s="2">
        <v>41.930999999999997</v>
      </c>
      <c r="C76" s="2">
        <v>269.392</v>
      </c>
      <c r="D76" s="5">
        <f>+VLOOKUP(A76,Sheet6!A:D,4,0)</f>
        <v>0.39786223277909738</v>
      </c>
      <c r="E76" s="5">
        <f t="shared" si="1"/>
        <v>1.668276128266033E-2</v>
      </c>
      <c r="F76" s="5" cm="1">
        <f t="array" ref="F76">_xlfn.IFS(
    AND(C76&gt;C$535,D76&lt;D$535),1,
    AND(C76&gt;C$535,D76&gt;D$535),2,
    AND(C76&lt;C$535,D76&lt;D$535),4,
    AND(C76&lt;C$535,D76&gt;D$535),3,
    TRUE,""
)</f>
        <v>2</v>
      </c>
      <c r="H76" s="5"/>
      <c r="I76" s="5"/>
    </row>
    <row r="77" spans="1:9" x14ac:dyDescent="0.35">
      <c r="A77" s="1" t="s">
        <v>208</v>
      </c>
      <c r="B77" s="2">
        <v>2.7280000000000002</v>
      </c>
      <c r="C77" s="1">
        <v>0.12021999999999999</v>
      </c>
      <c r="D77" s="5">
        <f>+VLOOKUP(A77,Sheet6!A:D,4,0)</f>
        <v>0.32467532467532467</v>
      </c>
      <c r="E77" s="5">
        <f t="shared" si="1"/>
        <v>8.8571428571428579E-4</v>
      </c>
      <c r="F77" s="5" cm="1">
        <f t="array" ref="F77">_xlfn.IFS(
    AND(C77&gt;C$535,D77&lt;D$535),1,
    AND(C77&gt;C$535,D77&gt;D$535),2,
    AND(C77&lt;C$535,D77&lt;D$535),4,
    AND(C77&lt;C$535,D77&gt;D$535),3,
    TRUE,""
)</f>
        <v>3</v>
      </c>
      <c r="H77" s="5"/>
      <c r="I77" s="5"/>
    </row>
    <row r="78" spans="1:9" x14ac:dyDescent="0.35">
      <c r="A78" s="1" t="s">
        <v>209</v>
      </c>
      <c r="B78" s="2">
        <v>15.115</v>
      </c>
      <c r="C78" s="2">
        <v>215.947</v>
      </c>
      <c r="D78" s="5">
        <f>+VLOOKUP(A78,Sheet6!A:D,4,0)</f>
        <v>0.47252747252747257</v>
      </c>
      <c r="E78" s="5">
        <f t="shared" si="1"/>
        <v>7.1422527472527475E-3</v>
      </c>
      <c r="F78" s="5" cm="1">
        <f t="array" ref="F78">_xlfn.IFS(
    AND(C78&gt;C$535,D78&lt;D$535),1,
    AND(C78&gt;C$535,D78&gt;D$535),2,
    AND(C78&lt;C$535,D78&lt;D$535),4,
    AND(C78&lt;C$535,D78&gt;D$535),3,
    TRUE,""
)</f>
        <v>3</v>
      </c>
      <c r="H78" s="5"/>
      <c r="I78" s="5"/>
    </row>
    <row r="79" spans="1:9" x14ac:dyDescent="0.35">
      <c r="A79" s="1" t="s">
        <v>210</v>
      </c>
      <c r="B79" s="2">
        <v>24.574000000000002</v>
      </c>
      <c r="C79" s="2">
        <v>295.56099999999998</v>
      </c>
      <c r="D79" s="5">
        <f>+VLOOKUP(A79,Sheet6!A:D,4,0)</f>
        <v>0.29047619047619044</v>
      </c>
      <c r="E79" s="5">
        <f t="shared" si="1"/>
        <v>7.1381619047619048E-3</v>
      </c>
      <c r="F79" s="5" cm="1">
        <f t="array" ref="F79">_xlfn.IFS(
    AND(C79&gt;C$535,D79&lt;D$535),1,
    AND(C79&gt;C$535,D79&gt;D$535),2,
    AND(C79&lt;C$535,D79&lt;D$535),4,
    AND(C79&lt;C$535,D79&gt;D$535),3,
    TRUE,""
)</f>
        <v>2</v>
      </c>
      <c r="H79" s="5"/>
      <c r="I79" s="5"/>
    </row>
    <row r="80" spans="1:9" x14ac:dyDescent="0.35">
      <c r="A80" s="1" t="s">
        <v>211</v>
      </c>
      <c r="B80" s="2">
        <v>69.471999999999994</v>
      </c>
      <c r="C80" s="2">
        <v>273.40699999999998</v>
      </c>
      <c r="D80" s="5">
        <f>+VLOOKUP(A80,Sheet6!A:D,4,0)</f>
        <v>0.27187948350071739</v>
      </c>
      <c r="E80" s="5">
        <f t="shared" si="1"/>
        <v>1.8888011477761837E-2</v>
      </c>
      <c r="F80" s="5" cm="1">
        <f t="array" ref="F80">_xlfn.IFS(
    AND(C80&gt;C$535,D80&lt;D$535),1,
    AND(C80&gt;C$535,D80&gt;D$535),2,
    AND(C80&lt;C$535,D80&lt;D$535),4,
    AND(C80&lt;C$535,D80&gt;D$535),3,
    TRUE,""
)</f>
        <v>2</v>
      </c>
      <c r="H80" s="5"/>
      <c r="I80" s="5"/>
    </row>
    <row r="81" spans="1:9" x14ac:dyDescent="0.35">
      <c r="A81" s="1" t="s">
        <v>212</v>
      </c>
      <c r="B81" s="2">
        <v>47.347999999999999</v>
      </c>
      <c r="C81" s="2">
        <v>330.51100000000002</v>
      </c>
      <c r="D81" s="5">
        <f>+VLOOKUP(A81,Sheet6!A:D,4,0)</f>
        <v>0.17200674536256325</v>
      </c>
      <c r="E81" s="5">
        <f t="shared" si="1"/>
        <v>8.1441753794266429E-3</v>
      </c>
      <c r="F81" s="5" cm="1">
        <f t="array" ref="F81">_xlfn.IFS(
    AND(C81&gt;C$535,D81&lt;D$535),1,
    AND(C81&gt;C$535,D81&gt;D$535),2,
    AND(C81&lt;C$535,D81&lt;D$535),4,
    AND(C81&lt;C$535,D81&gt;D$535),3,
    TRUE,""
)</f>
        <v>1</v>
      </c>
      <c r="H81" s="5"/>
      <c r="I81" s="5"/>
    </row>
    <row r="82" spans="1:9" x14ac:dyDescent="0.35">
      <c r="A82" s="1" t="s">
        <v>129</v>
      </c>
      <c r="B82" s="2">
        <v>4.2720000000000002</v>
      </c>
      <c r="C82" s="2">
        <v>459.99400000000003</v>
      </c>
      <c r="D82" s="5">
        <f>+VLOOKUP(A82,Sheet6!A:D,4,0)</f>
        <v>0.38805970149253732</v>
      </c>
      <c r="E82" s="5">
        <f t="shared" si="1"/>
        <v>1.6577910447761195E-3</v>
      </c>
      <c r="F82" s="5" cm="1">
        <f t="array" ref="F82">_xlfn.IFS(
    AND(C82&gt;C$535,D82&lt;D$535),1,
    AND(C82&gt;C$535,D82&gt;D$535),2,
    AND(C82&lt;C$535,D82&lt;D$535),4,
    AND(C82&lt;C$535,D82&gt;D$535),3,
    TRUE,""
)</f>
        <v>2</v>
      </c>
      <c r="H82" s="5"/>
      <c r="I82" s="5"/>
    </row>
    <row r="83" spans="1:9" x14ac:dyDescent="0.35">
      <c r="A83" s="1" t="s">
        <v>213</v>
      </c>
      <c r="B83" s="2">
        <v>56.713999999999999</v>
      </c>
      <c r="C83" s="2">
        <v>263.62099999999998</v>
      </c>
      <c r="D83" s="5">
        <f>+VLOOKUP(A83,Sheet6!A:D,4,0)</f>
        <v>0.22347826086956521</v>
      </c>
      <c r="E83" s="5">
        <f t="shared" si="1"/>
        <v>1.2674346086956521E-2</v>
      </c>
      <c r="F83" s="5" cm="1">
        <f t="array" ref="F83">_xlfn.IFS(
    AND(C83&gt;C$535,D83&lt;D$535),1,
    AND(C83&gt;C$535,D83&gt;D$535),2,
    AND(C83&lt;C$535,D83&lt;D$535),4,
    AND(C83&lt;C$535,D83&gt;D$535),3,
    TRUE,""
)</f>
        <v>1</v>
      </c>
      <c r="H83" s="5"/>
      <c r="I83" s="5"/>
    </row>
    <row r="84" spans="1:9" x14ac:dyDescent="0.35">
      <c r="A84" s="1" t="s">
        <v>128</v>
      </c>
      <c r="B84" s="2">
        <v>5.3369999999999997</v>
      </c>
      <c r="C84" s="2">
        <v>255.92699999999999</v>
      </c>
      <c r="D84" s="5">
        <f>+VLOOKUP(A84,Sheet6!A:D,4,0)</f>
        <v>0.28658536585365851</v>
      </c>
      <c r="E84" s="5">
        <f t="shared" si="1"/>
        <v>1.5295060975609753E-3</v>
      </c>
      <c r="F84" s="5" cm="1">
        <f t="array" ref="F84">_xlfn.IFS(
    AND(C84&gt;C$535,D84&lt;D$535),1,
    AND(C84&gt;C$535,D84&gt;D$535),2,
    AND(C84&lt;C$535,D84&lt;D$535),4,
    AND(C84&lt;C$535,D84&gt;D$535),3,
    TRUE,""
)</f>
        <v>2</v>
      </c>
      <c r="H84" s="5"/>
      <c r="I84" s="5"/>
    </row>
    <row r="85" spans="1:9" x14ac:dyDescent="0.35">
      <c r="A85" s="1" t="s">
        <v>214</v>
      </c>
      <c r="B85" s="2">
        <v>4.6479999999999997</v>
      </c>
      <c r="C85" s="2">
        <v>169.303</v>
      </c>
      <c r="D85" s="5">
        <f>+VLOOKUP(A85,Sheet6!A:D,4,0)</f>
        <v>0.16981132075471697</v>
      </c>
      <c r="E85" s="5">
        <f t="shared" si="1"/>
        <v>7.8928301886792437E-4</v>
      </c>
      <c r="F85" s="5" cm="1">
        <f t="array" ref="F85">_xlfn.IFS(
    AND(C85&gt;C$535,D85&lt;D$535),1,
    AND(C85&gt;C$535,D85&gt;D$535),2,
    AND(C85&lt;C$535,D85&lt;D$535),4,
    AND(C85&lt;C$535,D85&gt;D$535),3,
    TRUE,""
)</f>
        <v>4</v>
      </c>
      <c r="H85" s="5"/>
      <c r="I85" s="5"/>
    </row>
    <row r="86" spans="1:9" x14ac:dyDescent="0.35">
      <c r="A86" s="1" t="s">
        <v>215</v>
      </c>
      <c r="B86" s="2">
        <v>7.0620000000000003</v>
      </c>
      <c r="C86" s="2">
        <v>156.75700000000001</v>
      </c>
      <c r="D86" s="5">
        <f>+VLOOKUP(A86,Sheet6!A:D,4,0)</f>
        <v>0.36480686695278969</v>
      </c>
      <c r="E86" s="5">
        <f t="shared" si="1"/>
        <v>2.5762660944206009E-3</v>
      </c>
      <c r="F86" s="5" cm="1">
        <f t="array" ref="F86">_xlfn.IFS(
    AND(C86&gt;C$535,D86&lt;D$535),1,
    AND(C86&gt;C$535,D86&gt;D$535),2,
    AND(C86&lt;C$535,D86&lt;D$535),4,
    AND(C86&lt;C$535,D86&gt;D$535),3,
    TRUE,""
)</f>
        <v>3</v>
      </c>
      <c r="H86" s="5"/>
      <c r="I86" s="5"/>
    </row>
    <row r="87" spans="1:9" x14ac:dyDescent="0.35">
      <c r="A87" s="1" t="s">
        <v>216</v>
      </c>
      <c r="B87" s="1">
        <v>2.07E-2</v>
      </c>
      <c r="C87" s="2">
        <v>414.017</v>
      </c>
      <c r="D87" s="5">
        <f>+VLOOKUP(A87,Sheet6!A:D,4,0)</f>
        <v>0.200354609929078</v>
      </c>
      <c r="E87" s="5">
        <f t="shared" si="1"/>
        <v>4.1473404255319143E-6</v>
      </c>
      <c r="F87" s="5" cm="1">
        <f t="array" ref="F87">_xlfn.IFS(
    AND(C87&gt;C$535,D87&lt;D$535),1,
    AND(C87&gt;C$535,D87&gt;D$535),2,
    AND(C87&lt;C$535,D87&lt;D$535),4,
    AND(C87&lt;C$535,D87&gt;D$535),3,
    TRUE,""
)</f>
        <v>1</v>
      </c>
      <c r="H87" s="5"/>
      <c r="I87" s="5"/>
    </row>
    <row r="88" spans="1:9" x14ac:dyDescent="0.35">
      <c r="A88" s="1" t="s">
        <v>127</v>
      </c>
      <c r="B88" s="2">
        <v>49.607999999999997</v>
      </c>
      <c r="C88" s="2">
        <v>277.13400000000001</v>
      </c>
      <c r="D88" s="5">
        <f>+VLOOKUP(A88,Sheet6!A:D,4,0)</f>
        <v>0.23970290344361916</v>
      </c>
      <c r="E88" s="5">
        <f t="shared" si="1"/>
        <v>1.1891181634031057E-2</v>
      </c>
      <c r="F88" s="5" cm="1">
        <f t="array" ref="F88">_xlfn.IFS(
    AND(C88&gt;C$535,D88&lt;D$535),1,
    AND(C88&gt;C$535,D88&gt;D$535),2,
    AND(C88&lt;C$535,D88&lt;D$535),4,
    AND(C88&lt;C$535,D88&gt;D$535),3,
    TRUE,""
)</f>
        <v>1</v>
      </c>
      <c r="H88" s="5"/>
      <c r="I88" s="5"/>
    </row>
    <row r="89" spans="1:9" ht="29" x14ac:dyDescent="0.35">
      <c r="A89" s="1" t="s">
        <v>218</v>
      </c>
      <c r="B89" s="2">
        <v>10.585000000000001</v>
      </c>
      <c r="C89" s="2">
        <v>211.42699999999999</v>
      </c>
      <c r="D89" s="5">
        <f>+VLOOKUP(A89,Sheet6!A:D,4,0)</f>
        <v>0.7080394922425951</v>
      </c>
      <c r="E89" s="5">
        <f t="shared" si="1"/>
        <v>7.4945980253878696E-3</v>
      </c>
      <c r="F89" s="5" cm="1">
        <f t="array" ref="F89">_xlfn.IFS(
    AND(C89&gt;C$535,D89&lt;D$535),1,
    AND(C89&gt;C$535,D89&gt;D$535),2,
    AND(C89&lt;C$535,D89&lt;D$535),4,
    AND(C89&lt;C$535,D89&gt;D$535),3,
    TRUE,""
)</f>
        <v>3</v>
      </c>
      <c r="H89" s="5"/>
      <c r="I89" s="5"/>
    </row>
    <row r="90" spans="1:9" x14ac:dyDescent="0.35">
      <c r="A90" s="1" t="s">
        <v>219</v>
      </c>
      <c r="B90" s="2">
        <v>57.875</v>
      </c>
      <c r="C90" s="2">
        <v>268.97699999999998</v>
      </c>
      <c r="D90" s="5">
        <f>+VLOOKUP(A90,Sheet6!A:D,4,0)</f>
        <v>0.25247524752475248</v>
      </c>
      <c r="E90" s="5">
        <f t="shared" si="1"/>
        <v>1.461200495049505E-2</v>
      </c>
      <c r="F90" s="5" cm="1">
        <f t="array" ref="F90">_xlfn.IFS(
    AND(C90&gt;C$535,D90&lt;D$535),1,
    AND(C90&gt;C$535,D90&gt;D$535),2,
    AND(C90&lt;C$535,D90&lt;D$535),4,
    AND(C90&lt;C$535,D90&gt;D$535),3,
    TRUE,""
)</f>
        <v>1</v>
      </c>
      <c r="H90" s="5"/>
      <c r="I90" s="5"/>
    </row>
    <row r="91" spans="1:9" x14ac:dyDescent="0.35">
      <c r="A91" s="1" t="s">
        <v>126</v>
      </c>
      <c r="B91" s="2">
        <v>23.234000000000002</v>
      </c>
      <c r="C91" s="2">
        <v>256.26600000000002</v>
      </c>
      <c r="D91" s="5">
        <f>+VLOOKUP(A91,Sheet6!A:D,4,0)</f>
        <v>0.31967213114754101</v>
      </c>
      <c r="E91" s="5">
        <f t="shared" si="1"/>
        <v>7.4272622950819689E-3</v>
      </c>
      <c r="F91" s="5" cm="1">
        <f t="array" ref="F91">_xlfn.IFS(
    AND(C91&gt;C$535,D91&lt;D$535),1,
    AND(C91&gt;C$535,D91&gt;D$535),2,
    AND(C91&lt;C$535,D91&lt;D$535),4,
    AND(C91&lt;C$535,D91&gt;D$535),3,
    TRUE,""
)</f>
        <v>2</v>
      </c>
      <c r="H91" s="5"/>
      <c r="I91" s="5"/>
    </row>
    <row r="92" spans="1:9" x14ac:dyDescent="0.35">
      <c r="A92" s="1" t="s">
        <v>220</v>
      </c>
      <c r="B92" s="2">
        <v>4.4089999999999998</v>
      </c>
      <c r="C92" s="2">
        <v>225.01300000000001</v>
      </c>
      <c r="D92" s="5">
        <f>+VLOOKUP(A92,Sheet6!A:D,4,0)</f>
        <v>0.26315789473684209</v>
      </c>
      <c r="E92" s="5">
        <f t="shared" si="1"/>
        <v>1.1602631578947367E-3</v>
      </c>
      <c r="F92" s="5" cm="1">
        <f t="array" ref="F92">_xlfn.IFS(
    AND(C92&gt;C$535,D92&lt;D$535),1,
    AND(C92&gt;C$535,D92&gt;D$535),2,
    AND(C92&lt;C$535,D92&lt;D$535),4,
    AND(C92&lt;C$535,D92&gt;D$535),3,
    TRUE,""
)</f>
        <v>3</v>
      </c>
      <c r="H92" s="5"/>
      <c r="I92" s="5"/>
    </row>
    <row r="93" spans="1:9" x14ac:dyDescent="0.35">
      <c r="A93" s="1" t="s">
        <v>125</v>
      </c>
      <c r="B93" s="2">
        <v>5.859</v>
      </c>
      <c r="C93" s="1">
        <v>0.22991</v>
      </c>
      <c r="D93" s="5">
        <f>+VLOOKUP(A93,Sheet6!A:D,4,0)</f>
        <v>0.28688524590163933</v>
      </c>
      <c r="E93" s="5">
        <f t="shared" si="1"/>
        <v>1.6808606557377048E-3</v>
      </c>
      <c r="F93" s="5" cm="1">
        <f t="array" ref="F93">_xlfn.IFS(
    AND(C93&gt;C$535,D93&lt;D$535),1,
    AND(C93&gt;C$535,D93&gt;D$535),2,
    AND(C93&lt;C$535,D93&lt;D$535),4,
    AND(C93&lt;C$535,D93&gt;D$535),3,
    TRUE,""
)</f>
        <v>3</v>
      </c>
      <c r="H93" s="5"/>
      <c r="I93" s="5"/>
    </row>
    <row r="94" spans="1:9" x14ac:dyDescent="0.35">
      <c r="A94" s="1" t="s">
        <v>221</v>
      </c>
      <c r="B94" s="2">
        <v>47.305999999999997</v>
      </c>
      <c r="C94" s="2">
        <v>330.44400000000002</v>
      </c>
      <c r="D94" s="5">
        <f>+VLOOKUP(A94,Sheet6!A:D,4,0)</f>
        <v>0.19578686493184635</v>
      </c>
      <c r="E94" s="5">
        <f t="shared" si="1"/>
        <v>9.2618934324659227E-3</v>
      </c>
      <c r="F94" s="5" cm="1">
        <f t="array" ref="F94">_xlfn.IFS(
    AND(C94&gt;C$535,D94&lt;D$535),1,
    AND(C94&gt;C$535,D94&gt;D$535),2,
    AND(C94&lt;C$535,D94&lt;D$535),4,
    AND(C94&lt;C$535,D94&gt;D$535),3,
    TRUE,""
)</f>
        <v>1</v>
      </c>
      <c r="H94" s="5"/>
      <c r="I94" s="5"/>
    </row>
    <row r="95" spans="1:9" x14ac:dyDescent="0.35">
      <c r="A95" s="1" t="s">
        <v>222</v>
      </c>
      <c r="B95" s="2">
        <v>10.417</v>
      </c>
      <c r="C95" s="1">
        <v>0.24105000000000001</v>
      </c>
      <c r="D95" s="5">
        <f>+VLOOKUP(A95,Sheet6!A:D,4,0)</f>
        <v>0.34567901234567905</v>
      </c>
      <c r="E95" s="5">
        <f t="shared" si="1"/>
        <v>3.6009382716049388E-3</v>
      </c>
      <c r="F95" s="5" cm="1">
        <f t="array" ref="F95">_xlfn.IFS(
    AND(C95&gt;C$535,D95&lt;D$535),1,
    AND(C95&gt;C$535,D95&gt;D$535),2,
    AND(C95&lt;C$535,D95&lt;D$535),4,
    AND(C95&lt;C$535,D95&gt;D$535),3,
    TRUE,""
)</f>
        <v>3</v>
      </c>
      <c r="H95" s="5"/>
      <c r="I95" s="5"/>
    </row>
    <row r="96" spans="1:9" x14ac:dyDescent="0.35">
      <c r="A96" s="1" t="s">
        <v>223</v>
      </c>
      <c r="B96" s="1">
        <v>5.0900000000000001E-2</v>
      </c>
      <c r="C96" s="2">
        <v>280.88200000000001</v>
      </c>
      <c r="D96" s="5">
        <f>+VLOOKUP(A96,Sheet6!A:D,4,0)</f>
        <v>0.19288256227758005</v>
      </c>
      <c r="E96" s="5">
        <f t="shared" si="1"/>
        <v>9.817722419928826E-6</v>
      </c>
      <c r="F96" s="5" cm="1">
        <f t="array" ref="F96">_xlfn.IFS(
    AND(C96&gt;C$535,D96&lt;D$535),1,
    AND(C96&gt;C$535,D96&gt;D$535),2,
    AND(C96&lt;C$535,D96&lt;D$535),4,
    AND(C96&lt;C$535,D96&gt;D$535),3,
    TRUE,""
)</f>
        <v>1</v>
      </c>
      <c r="H96" s="5"/>
      <c r="I96" s="5"/>
    </row>
    <row r="97" spans="1:9" x14ac:dyDescent="0.35">
      <c r="A97" s="1" t="s">
        <v>124</v>
      </c>
      <c r="B97" s="2">
        <v>30.405000000000001</v>
      </c>
      <c r="C97" s="2">
        <v>221.90199999999999</v>
      </c>
      <c r="D97" s="5">
        <f>+VLOOKUP(A97,Sheet6!A:D,4,0)</f>
        <v>0.30154277699859749</v>
      </c>
      <c r="E97" s="5">
        <f t="shared" si="1"/>
        <v>9.1684081346423574E-3</v>
      </c>
      <c r="F97" s="5" cm="1">
        <f t="array" ref="F97">_xlfn.IFS(
    AND(C97&gt;C$535,D97&lt;D$535),1,
    AND(C97&gt;C$535,D97&gt;D$535),2,
    AND(C97&lt;C$535,D97&lt;D$535),4,
    AND(C97&lt;C$535,D97&gt;D$535),3,
    TRUE,""
)</f>
        <v>3</v>
      </c>
      <c r="H97" s="5"/>
      <c r="I97" s="5"/>
    </row>
    <row r="98" spans="1:9" x14ac:dyDescent="0.35">
      <c r="A98" s="1" t="s">
        <v>123</v>
      </c>
      <c r="B98" s="2">
        <v>3.778</v>
      </c>
      <c r="C98" s="2">
        <v>248.797</v>
      </c>
      <c r="D98" s="5">
        <f>+VLOOKUP(A98,Sheet6!A:D,4,0)</f>
        <v>0.39622641509433959</v>
      </c>
      <c r="E98" s="5">
        <f t="shared" si="1"/>
        <v>1.4969433962264149E-3</v>
      </c>
      <c r="F98" s="5" cm="1">
        <f t="array" ref="F98">_xlfn.IFS(
    AND(C98&gt;C$535,D98&lt;D$535),1,
    AND(C98&gt;C$535,D98&gt;D$535),2,
    AND(C98&lt;C$535,D98&lt;D$535),4,
    AND(C98&lt;C$535,D98&gt;D$535),3,
    TRUE,""
)</f>
        <v>2</v>
      </c>
      <c r="H98" s="5"/>
      <c r="I98" s="5"/>
    </row>
    <row r="99" spans="1:9" x14ac:dyDescent="0.35">
      <c r="A99" s="1" t="s">
        <v>224</v>
      </c>
      <c r="B99" s="2">
        <v>7.0880000000000001</v>
      </c>
      <c r="C99" s="2">
        <v>162.114</v>
      </c>
      <c r="D99" s="5">
        <f>+VLOOKUP(A99,Sheet6!A:D,4,0)</f>
        <v>0.18120805369127518</v>
      </c>
      <c r="E99" s="5">
        <f t="shared" si="1"/>
        <v>1.2844026845637586E-3</v>
      </c>
      <c r="F99" s="5" cm="1">
        <f t="array" ref="F99">_xlfn.IFS(
    AND(C99&gt;C$535,D99&lt;D$535),1,
    AND(C99&gt;C$535,D99&gt;D$535),2,
    AND(C99&lt;C$535,D99&lt;D$535),4,
    AND(C99&lt;C$535,D99&gt;D$535),3,
    TRUE,""
)</f>
        <v>4</v>
      </c>
      <c r="H99" s="5"/>
      <c r="I99" s="5"/>
    </row>
    <row r="100" spans="1:9" x14ac:dyDescent="0.35">
      <c r="A100" s="1" t="s">
        <v>225</v>
      </c>
      <c r="B100" s="2">
        <v>52.645000000000003</v>
      </c>
      <c r="C100" s="2">
        <v>286.88400000000001</v>
      </c>
      <c r="D100" s="5">
        <f>+VLOOKUP(A100,Sheet6!A:D,4,0)</f>
        <v>0.38552540013917885</v>
      </c>
      <c r="E100" s="5">
        <f t="shared" si="1"/>
        <v>2.0295984690327069E-2</v>
      </c>
      <c r="F100" s="5" cm="1">
        <f t="array" ref="F100">_xlfn.IFS(
    AND(C100&gt;C$535,D100&lt;D$535),1,
    AND(C100&gt;C$535,D100&gt;D$535),2,
    AND(C100&lt;C$535,D100&lt;D$535),4,
    AND(C100&lt;C$535,D100&gt;D$535),3,
    TRUE,""
)</f>
        <v>2</v>
      </c>
      <c r="H100" s="5"/>
      <c r="I100" s="5"/>
    </row>
    <row r="101" spans="1:9" x14ac:dyDescent="0.35">
      <c r="A101" s="1" t="s">
        <v>226</v>
      </c>
      <c r="B101" s="2">
        <v>9.3819999999999997</v>
      </c>
      <c r="C101" s="2">
        <v>227.77799999999999</v>
      </c>
      <c r="D101" s="5">
        <f>+VLOOKUP(A101,Sheet6!A:D,4,0)</f>
        <v>0.15384615384615385</v>
      </c>
      <c r="E101" s="5">
        <f t="shared" si="1"/>
        <v>1.4433846153846155E-3</v>
      </c>
      <c r="F101" s="5" cm="1">
        <f t="array" ref="F101">_xlfn.IFS(
    AND(C101&gt;C$535,D101&lt;D$535),1,
    AND(C101&gt;C$535,D101&gt;D$535),2,
    AND(C101&lt;C$535,D101&lt;D$535),4,
    AND(C101&lt;C$535,D101&gt;D$535),3,
    TRUE,""
)</f>
        <v>4</v>
      </c>
      <c r="H101" s="5"/>
      <c r="I101" s="5"/>
    </row>
    <row r="102" spans="1:9" x14ac:dyDescent="0.35">
      <c r="A102" s="1" t="s">
        <v>227</v>
      </c>
      <c r="B102" s="2">
        <v>4.9660000000000002</v>
      </c>
      <c r="C102" s="2">
        <v>119.011</v>
      </c>
      <c r="D102" s="5">
        <f>+VLOOKUP(A102,Sheet6!A:D,4,0)</f>
        <v>0.4678899082568807</v>
      </c>
      <c r="E102" s="5">
        <f t="shared" si="1"/>
        <v>2.3235412844036696E-3</v>
      </c>
      <c r="F102" s="5" cm="1">
        <f t="array" ref="F102">_xlfn.IFS(
    AND(C102&gt;C$535,D102&lt;D$535),1,
    AND(C102&gt;C$535,D102&gt;D$535),2,
    AND(C102&lt;C$535,D102&lt;D$535),4,
    AND(C102&lt;C$535,D102&gt;D$535),3,
    TRUE,""
)</f>
        <v>3</v>
      </c>
      <c r="H102" s="5"/>
      <c r="I102" s="5"/>
    </row>
    <row r="103" spans="1:9" x14ac:dyDescent="0.35">
      <c r="A103" s="1" t="s">
        <v>228</v>
      </c>
      <c r="B103" s="2">
        <v>4.9409999999999998</v>
      </c>
      <c r="C103" s="2">
        <v>309.24900000000002</v>
      </c>
      <c r="D103" s="5">
        <f>+VLOOKUP(A103,Sheet6!A:D,4,0)</f>
        <v>0.37083333333333335</v>
      </c>
      <c r="E103" s="5">
        <f t="shared" si="1"/>
        <v>1.8322875000000001E-3</v>
      </c>
      <c r="F103" s="5" cm="1">
        <f t="array" ref="F103">_xlfn.IFS(
    AND(C103&gt;C$535,D103&lt;D$535),1,
    AND(C103&gt;C$535,D103&gt;D$535),2,
    AND(C103&lt;C$535,D103&lt;D$535),4,
    AND(C103&lt;C$535,D103&gt;D$535),3,
    TRUE,""
)</f>
        <v>2</v>
      </c>
      <c r="H103" s="5"/>
      <c r="I103" s="5"/>
    </row>
    <row r="104" spans="1:9" ht="29" x14ac:dyDescent="0.35">
      <c r="A104" s="1" t="s">
        <v>229</v>
      </c>
      <c r="B104" s="2">
        <v>57.393999999999998</v>
      </c>
      <c r="C104" s="2">
        <v>356.09699999999998</v>
      </c>
      <c r="D104" s="5">
        <f>+VLOOKUP(A104,Sheet6!A:D,4,0)</f>
        <v>0.32284040995607616</v>
      </c>
      <c r="E104" s="5">
        <f t="shared" si="1"/>
        <v>1.8529102489019036E-2</v>
      </c>
      <c r="F104" s="5" cm="1">
        <f t="array" ref="F104">_xlfn.IFS(
    AND(C104&gt;C$535,D104&lt;D$535),1,
    AND(C104&gt;C$535,D104&gt;D$535),2,
    AND(C104&lt;C$535,D104&lt;D$535),4,
    AND(C104&lt;C$535,D104&gt;D$535),3,
    TRUE,""
)</f>
        <v>2</v>
      </c>
      <c r="H104" s="5"/>
      <c r="I104" s="5"/>
    </row>
    <row r="105" spans="1:9" x14ac:dyDescent="0.35">
      <c r="A105" s="1" t="s">
        <v>230</v>
      </c>
      <c r="B105" s="2">
        <v>13.355</v>
      </c>
      <c r="C105" s="2">
        <v>207.26599999999999</v>
      </c>
      <c r="D105" s="5">
        <f>+VLOOKUP(A105,Sheet6!A:D,4,0)</f>
        <v>0.35483870967741937</v>
      </c>
      <c r="E105" s="5">
        <f t="shared" si="1"/>
        <v>4.7388709677419361E-3</v>
      </c>
      <c r="F105" s="5" cm="1">
        <f t="array" ref="F105">_xlfn.IFS(
    AND(C105&gt;C$535,D105&lt;D$535),1,
    AND(C105&gt;C$535,D105&gt;D$535),2,
    AND(C105&lt;C$535,D105&lt;D$535),4,
    AND(C105&lt;C$535,D105&gt;D$535),3,
    TRUE,""
)</f>
        <v>3</v>
      </c>
      <c r="H105" s="5"/>
      <c r="I105" s="5"/>
    </row>
    <row r="106" spans="1:9" x14ac:dyDescent="0.35">
      <c r="A106" s="1" t="s">
        <v>232</v>
      </c>
      <c r="B106" s="1">
        <v>7.77E-3</v>
      </c>
      <c r="C106" s="2">
        <v>427.52699999999999</v>
      </c>
      <c r="D106" s="5">
        <f>+VLOOKUP(A106,Sheet6!A:D,4,0)</f>
        <v>6.0240963855421693E-2</v>
      </c>
      <c r="E106" s="5">
        <f t="shared" si="1"/>
        <v>4.6807228915662658E-7</v>
      </c>
      <c r="F106" s="5" cm="1">
        <f t="array" ref="F106">_xlfn.IFS(
    AND(C106&gt;C$535,D106&lt;D$535),1,
    AND(C106&gt;C$535,D106&gt;D$535),2,
    AND(C106&lt;C$535,D106&lt;D$535),4,
    AND(C106&lt;C$535,D106&gt;D$535),3,
    TRUE,""
)</f>
        <v>1</v>
      </c>
      <c r="H106" s="5"/>
      <c r="I106" s="5"/>
    </row>
    <row r="107" spans="1:9" x14ac:dyDescent="0.35">
      <c r="A107" s="1" t="s">
        <v>233</v>
      </c>
      <c r="B107" s="2">
        <v>61.512999999999998</v>
      </c>
      <c r="C107" s="2">
        <v>311.23500000000001</v>
      </c>
      <c r="D107" s="5">
        <f>+VLOOKUP(A107,Sheet6!A:D,4,0)</f>
        <v>0.19502407704654895</v>
      </c>
      <c r="E107" s="5">
        <f t="shared" si="1"/>
        <v>1.1996516051364365E-2</v>
      </c>
      <c r="F107" s="5" cm="1">
        <f t="array" ref="F107">_xlfn.IFS(
    AND(C107&gt;C$535,D107&lt;D$535),1,
    AND(C107&gt;C$535,D107&gt;D$535),2,
    AND(C107&lt;C$535,D107&lt;D$535),4,
    AND(C107&lt;C$535,D107&gt;D$535),3,
    TRUE,""
)</f>
        <v>1</v>
      </c>
      <c r="H107" s="5"/>
      <c r="I107" s="5"/>
    </row>
    <row r="108" spans="1:9" x14ac:dyDescent="0.35">
      <c r="A108" s="1" t="s">
        <v>234</v>
      </c>
      <c r="B108" s="2">
        <v>17.161000000000001</v>
      </c>
      <c r="C108" s="2">
        <v>278.71100000000001</v>
      </c>
      <c r="D108" s="5">
        <f>+VLOOKUP(A108,Sheet6!A:D,4,0)</f>
        <v>8.9285714285714288E-2</v>
      </c>
      <c r="E108" s="5">
        <f t="shared" si="1"/>
        <v>1.5322321428571431E-3</v>
      </c>
      <c r="F108" s="5" cm="1">
        <f t="array" ref="F108">_xlfn.IFS(
    AND(C108&gt;C$535,D108&lt;D$535),1,
    AND(C108&gt;C$535,D108&gt;D$535),2,
    AND(C108&lt;C$535,D108&lt;D$535),4,
    AND(C108&lt;C$535,D108&gt;D$535),3,
    TRUE,""
)</f>
        <v>1</v>
      </c>
      <c r="H108" s="5"/>
      <c r="I108" s="5"/>
    </row>
    <row r="109" spans="1:9" x14ac:dyDescent="0.35">
      <c r="A109" s="1" t="s">
        <v>235</v>
      </c>
      <c r="B109" s="2">
        <v>66.888999999999996</v>
      </c>
      <c r="C109" s="2">
        <v>288.435</v>
      </c>
      <c r="D109" s="5">
        <f>+VLOOKUP(A109,Sheet6!A:D,4,0)</f>
        <v>0.24223946784922396</v>
      </c>
      <c r="E109" s="5">
        <f t="shared" si="1"/>
        <v>1.620315576496674E-2</v>
      </c>
      <c r="F109" s="5" cm="1">
        <f t="array" ref="F109">_xlfn.IFS(
    AND(C109&gt;C$535,D109&lt;D$535),1,
    AND(C109&gt;C$535,D109&gt;D$535),2,
    AND(C109&lt;C$535,D109&lt;D$535),4,
    AND(C109&lt;C$535,D109&gt;D$535),3,
    TRUE,""
)</f>
        <v>1</v>
      </c>
      <c r="H109" s="5"/>
      <c r="I109" s="5"/>
    </row>
    <row r="110" spans="1:9" x14ac:dyDescent="0.35">
      <c r="A110" s="1" t="s">
        <v>236</v>
      </c>
      <c r="B110" s="2">
        <v>42.341999999999999</v>
      </c>
      <c r="C110" s="2">
        <v>264.18200000000002</v>
      </c>
      <c r="D110" s="5">
        <f>+VLOOKUP(A110,Sheet6!A:D,4,0)</f>
        <v>0.26791808873720135</v>
      </c>
      <c r="E110" s="5">
        <f t="shared" si="1"/>
        <v>1.1344187713310579E-2</v>
      </c>
      <c r="F110" s="5" cm="1">
        <f t="array" ref="F110">_xlfn.IFS(
    AND(C110&gt;C$535,D110&lt;D$535),1,
    AND(C110&gt;C$535,D110&gt;D$535),2,
    AND(C110&lt;C$535,D110&lt;D$535),4,
    AND(C110&lt;C$535,D110&gt;D$535),3,
    TRUE,""
)</f>
        <v>2</v>
      </c>
      <c r="H110" s="5"/>
      <c r="I110" s="5"/>
    </row>
    <row r="111" spans="1:9" x14ac:dyDescent="0.35">
      <c r="A111" s="1" t="s">
        <v>237</v>
      </c>
      <c r="B111" s="2">
        <v>5.4779999999999998</v>
      </c>
      <c r="C111" s="2">
        <v>219.59700000000001</v>
      </c>
      <c r="D111" s="5">
        <f>+VLOOKUP(A111,Sheet6!A:D,4,0)</f>
        <v>0.25698324022346369</v>
      </c>
      <c r="E111" s="5">
        <f t="shared" si="1"/>
        <v>1.4077541899441342E-3</v>
      </c>
      <c r="F111" s="5" cm="1">
        <f t="array" ref="F111">_xlfn.IFS(
    AND(C111&gt;C$535,D111&lt;D$535),1,
    AND(C111&gt;C$535,D111&gt;D$535),2,
    AND(C111&lt;C$535,D111&lt;D$535),4,
    AND(C111&lt;C$535,D111&gt;D$535),3,
    TRUE,""
)</f>
        <v>3</v>
      </c>
      <c r="H111" s="5"/>
      <c r="I111" s="5"/>
    </row>
    <row r="112" spans="1:9" x14ac:dyDescent="0.35">
      <c r="A112" s="1" t="s">
        <v>122</v>
      </c>
      <c r="B112" s="2">
        <v>34.206000000000003</v>
      </c>
      <c r="C112" s="2">
        <v>241.35900000000001</v>
      </c>
      <c r="D112" s="5">
        <f>+VLOOKUP(A112,Sheet6!A:D,4,0)</f>
        <v>0.10289389067524117</v>
      </c>
      <c r="E112" s="5">
        <f t="shared" si="1"/>
        <v>3.5195884244372997E-3</v>
      </c>
      <c r="F112" s="5" cm="1">
        <f t="array" ref="F112">_xlfn.IFS(
    AND(C112&gt;C$535,D112&lt;D$535),1,
    AND(C112&gt;C$535,D112&gt;D$535),2,
    AND(C112&lt;C$535,D112&lt;D$535),4,
    AND(C112&lt;C$535,D112&gt;D$535),3,
    TRUE,""
)</f>
        <v>1</v>
      </c>
      <c r="H112" s="5"/>
      <c r="I112" s="5"/>
    </row>
    <row r="113" spans="1:9" ht="29" x14ac:dyDescent="0.35">
      <c r="A113" s="1" t="s">
        <v>121</v>
      </c>
      <c r="B113" s="2">
        <v>18.635000000000002</v>
      </c>
      <c r="C113" s="2">
        <v>284.13900000000001</v>
      </c>
      <c r="D113" s="5">
        <f>+VLOOKUP(A113,Sheet6!A:D,4,0)</f>
        <v>0.26956521739130435</v>
      </c>
      <c r="E113" s="5">
        <f t="shared" si="1"/>
        <v>5.0233478260869576E-3</v>
      </c>
      <c r="F113" s="5" cm="1">
        <f t="array" ref="F113">_xlfn.IFS(
    AND(C113&gt;C$535,D113&lt;D$535),1,
    AND(C113&gt;C$535,D113&gt;D$535),2,
    AND(C113&lt;C$535,D113&lt;D$535),4,
    AND(C113&lt;C$535,D113&gt;D$535),3,
    TRUE,""
)</f>
        <v>2</v>
      </c>
      <c r="H113" s="5"/>
      <c r="I113" s="5"/>
    </row>
    <row r="114" spans="1:9" x14ac:dyDescent="0.35">
      <c r="A114" s="1" t="s">
        <v>238</v>
      </c>
      <c r="B114" s="2">
        <v>15.903</v>
      </c>
      <c r="C114" s="2">
        <v>354.19900000000001</v>
      </c>
      <c r="D114" s="5">
        <f>+VLOOKUP(A114,Sheet6!A:D,4,0)</f>
        <v>0.39699570815450647</v>
      </c>
      <c r="E114" s="5">
        <f t="shared" si="1"/>
        <v>6.3134227467811161E-3</v>
      </c>
      <c r="F114" s="5" cm="1">
        <f t="array" ref="F114">_xlfn.IFS(
    AND(C114&gt;C$535,D114&lt;D$535),1,
    AND(C114&gt;C$535,D114&gt;D$535),2,
    AND(C114&lt;C$535,D114&lt;D$535),4,
    AND(C114&lt;C$535,D114&gt;D$535),3,
    TRUE,""
)</f>
        <v>2</v>
      </c>
      <c r="H114" s="5"/>
      <c r="I114" s="5"/>
    </row>
    <row r="115" spans="1:9" ht="29" x14ac:dyDescent="0.35">
      <c r="A115" s="1" t="s">
        <v>239</v>
      </c>
      <c r="B115" s="2">
        <v>30.402000000000001</v>
      </c>
      <c r="C115" s="2">
        <v>287.15699999999998</v>
      </c>
      <c r="D115" s="5">
        <f>+VLOOKUP(A115,Sheet6!A:D,4,0)</f>
        <v>0.25149700598802399</v>
      </c>
      <c r="E115" s="5">
        <f t="shared" si="1"/>
        <v>7.6460119760479051E-3</v>
      </c>
      <c r="F115" s="5" cm="1">
        <f t="array" ref="F115">_xlfn.IFS(
    AND(C115&gt;C$535,D115&lt;D$535),1,
    AND(C115&gt;C$535,D115&gt;D$535),2,
    AND(C115&lt;C$535,D115&lt;D$535),4,
    AND(C115&lt;C$535,D115&gt;D$535),3,
    TRUE,""
)</f>
        <v>1</v>
      </c>
      <c r="H115" s="5"/>
      <c r="I115" s="5"/>
    </row>
    <row r="116" spans="1:9" x14ac:dyDescent="0.35">
      <c r="A116" s="1" t="s">
        <v>240</v>
      </c>
      <c r="B116" s="2">
        <v>37.412999999999997</v>
      </c>
      <c r="C116" s="2">
        <v>322.19099999999997</v>
      </c>
      <c r="D116" s="5">
        <f>+VLOOKUP(A116,Sheet6!A:D,4,0)</f>
        <v>0.15483119906868453</v>
      </c>
      <c r="E116" s="5">
        <f t="shared" si="1"/>
        <v>5.7926996507566934E-3</v>
      </c>
      <c r="F116" s="5" cm="1">
        <f t="array" ref="F116">_xlfn.IFS(
    AND(C116&gt;C$535,D116&lt;D$535),1,
    AND(C116&gt;C$535,D116&gt;D$535),2,
    AND(C116&lt;C$535,D116&lt;D$535),4,
    AND(C116&lt;C$535,D116&gt;D$535),3,
    TRUE,""
)</f>
        <v>1</v>
      </c>
      <c r="H116" s="5"/>
      <c r="I116" s="5"/>
    </row>
    <row r="117" spans="1:9" x14ac:dyDescent="0.35">
      <c r="A117" s="1" t="s">
        <v>241</v>
      </c>
      <c r="B117" s="2">
        <v>5.3550000000000004</v>
      </c>
      <c r="C117" s="2">
        <v>201.12899999999999</v>
      </c>
      <c r="D117" s="5">
        <f>+VLOOKUP(A117,Sheet6!A:D,4,0)</f>
        <v>3.7499999999999999E-2</v>
      </c>
      <c r="E117" s="5">
        <f t="shared" si="1"/>
        <v>2.0081250000000001E-4</v>
      </c>
      <c r="F117" s="5" cm="1">
        <f t="array" ref="F117">_xlfn.IFS(
    AND(C117&gt;C$535,D117&lt;D$535),1,
    AND(C117&gt;C$535,D117&gt;D$535),2,
    AND(C117&lt;C$535,D117&lt;D$535),4,
    AND(C117&lt;C$535,D117&gt;D$535),3,
    TRUE,""
)</f>
        <v>4</v>
      </c>
      <c r="H117" s="5"/>
      <c r="I117" s="5"/>
    </row>
    <row r="118" spans="1:9" ht="29" x14ac:dyDescent="0.35">
      <c r="A118" s="1" t="s">
        <v>242</v>
      </c>
      <c r="B118" s="2">
        <v>6.9349999999999996</v>
      </c>
      <c r="C118" s="2">
        <v>140.297</v>
      </c>
      <c r="D118" s="5">
        <f>+VLOOKUP(A118,Sheet6!A:D,4,0)</f>
        <v>0.25257731958762886</v>
      </c>
      <c r="E118" s="5">
        <f t="shared" si="1"/>
        <v>1.751623711340206E-3</v>
      </c>
      <c r="F118" s="5" cm="1">
        <f t="array" ref="F118">_xlfn.IFS(
    AND(C118&gt;C$535,D118&lt;D$535),1,
    AND(C118&gt;C$535,D118&gt;D$535),2,
    AND(C118&lt;C$535,D118&lt;D$535),4,
    AND(C118&lt;C$535,D118&gt;D$535),3,
    TRUE,""
)</f>
        <v>4</v>
      </c>
      <c r="H118" s="5"/>
      <c r="I118" s="5"/>
    </row>
    <row r="119" spans="1:9" x14ac:dyDescent="0.35">
      <c r="A119" s="1" t="s">
        <v>243</v>
      </c>
      <c r="B119" s="2">
        <v>7.1459999999999999</v>
      </c>
      <c r="C119" s="1">
        <v>0.29149999999999998</v>
      </c>
      <c r="D119" s="5">
        <f>+VLOOKUP(A119,Sheet6!A:D,4,0)</f>
        <v>0.06</v>
      </c>
      <c r="E119" s="5">
        <f t="shared" si="1"/>
        <v>4.2875999999999998E-4</v>
      </c>
      <c r="F119" s="5" cm="1">
        <f t="array" ref="F119">_xlfn.IFS(
    AND(C119&gt;C$535,D119&lt;D$535),1,
    AND(C119&gt;C$535,D119&gt;D$535),2,
    AND(C119&lt;C$535,D119&lt;D$535),4,
    AND(C119&lt;C$535,D119&gt;D$535),3,
    TRUE,""
)</f>
        <v>4</v>
      </c>
      <c r="H119" s="5"/>
      <c r="I119" s="5"/>
    </row>
    <row r="120" spans="1:9" x14ac:dyDescent="0.35">
      <c r="A120" s="1" t="s">
        <v>120</v>
      </c>
      <c r="B120" s="2">
        <v>26.567</v>
      </c>
      <c r="C120" s="2">
        <v>355.28899999999999</v>
      </c>
      <c r="D120" s="5">
        <f>+VLOOKUP(A120,Sheet6!A:D,4,0)</f>
        <v>0.18337408312958436</v>
      </c>
      <c r="E120" s="5">
        <f t="shared" si="1"/>
        <v>4.8716992665036674E-3</v>
      </c>
      <c r="F120" s="5" cm="1">
        <f t="array" ref="F120">_xlfn.IFS(
    AND(C120&gt;C$535,D120&lt;D$535),1,
    AND(C120&gt;C$535,D120&gt;D$535),2,
    AND(C120&lt;C$535,D120&lt;D$535),4,
    AND(C120&lt;C$535,D120&gt;D$535),3,
    TRUE,""
)</f>
        <v>1</v>
      </c>
      <c r="H120" s="5"/>
      <c r="I120" s="5"/>
    </row>
    <row r="121" spans="1:9" x14ac:dyDescent="0.35">
      <c r="A121" s="1" t="s">
        <v>244</v>
      </c>
      <c r="B121" s="2">
        <v>75.498999999999995</v>
      </c>
      <c r="C121" s="2">
        <v>274.29500000000002</v>
      </c>
      <c r="D121" s="5">
        <f>+VLOOKUP(A121,Sheet6!A:D,4,0)</f>
        <v>0.30441478439425051</v>
      </c>
      <c r="E121" s="5">
        <f t="shared" si="1"/>
        <v>2.2983011806981521E-2</v>
      </c>
      <c r="F121" s="5" cm="1">
        <f t="array" ref="F121">_xlfn.IFS(
    AND(C121&gt;C$535,D121&lt;D$535),1,
    AND(C121&gt;C$535,D121&gt;D$535),2,
    AND(C121&lt;C$535,D121&lt;D$535),4,
    AND(C121&lt;C$535,D121&gt;D$535),3,
    TRUE,""
)</f>
        <v>2</v>
      </c>
      <c r="H121" s="5"/>
      <c r="I121" s="5"/>
    </row>
    <row r="122" spans="1:9" x14ac:dyDescent="0.35">
      <c r="A122" s="1" t="s">
        <v>245</v>
      </c>
      <c r="B122" s="2">
        <v>2.9569999999999999</v>
      </c>
      <c r="C122" s="2">
        <v>173.51499999999999</v>
      </c>
      <c r="D122" s="5">
        <f>+VLOOKUP(A122,Sheet6!A:D,4,0)</f>
        <v>0.61627906976744196</v>
      </c>
      <c r="E122" s="5">
        <f t="shared" si="1"/>
        <v>1.8223372093023257E-3</v>
      </c>
      <c r="F122" s="5" cm="1">
        <f t="array" ref="F122">_xlfn.IFS(
    AND(C122&gt;C$535,D122&lt;D$535),1,
    AND(C122&gt;C$535,D122&gt;D$535),2,
    AND(C122&lt;C$535,D122&lt;D$535),4,
    AND(C122&lt;C$535,D122&gt;D$535),3,
    TRUE,""
)</f>
        <v>3</v>
      </c>
      <c r="H122" s="5"/>
      <c r="I122" s="5"/>
    </row>
    <row r="123" spans="1:9" x14ac:dyDescent="0.35">
      <c r="A123" s="1" t="s">
        <v>246</v>
      </c>
      <c r="B123" s="2">
        <v>6.726</v>
      </c>
      <c r="C123" s="2">
        <v>217.077</v>
      </c>
      <c r="D123" s="5">
        <f>+VLOOKUP(A123,Sheet6!A:D,4,0)</f>
        <v>0.14545454545454545</v>
      </c>
      <c r="E123" s="5">
        <f t="shared" si="1"/>
        <v>9.7832727272727281E-4</v>
      </c>
      <c r="F123" s="5" cm="1">
        <f t="array" ref="F123">_xlfn.IFS(
    AND(C123&gt;C$535,D123&lt;D$535),1,
    AND(C123&gt;C$535,D123&gt;D$535),2,
    AND(C123&lt;C$535,D123&lt;D$535),4,
    AND(C123&lt;C$535,D123&gt;D$535),3,
    TRUE,""
)</f>
        <v>4</v>
      </c>
      <c r="H123" s="5"/>
      <c r="I123" s="5"/>
    </row>
    <row r="124" spans="1:9" x14ac:dyDescent="0.35">
      <c r="A124" s="1" t="s">
        <v>247</v>
      </c>
      <c r="B124" s="2">
        <v>14.348000000000001</v>
      </c>
      <c r="C124" s="2">
        <v>273.06099999999998</v>
      </c>
      <c r="D124" s="5">
        <f>+VLOOKUP(A124,Sheet6!A:D,4,0)</f>
        <v>0.19285714285714289</v>
      </c>
      <c r="E124" s="5">
        <f t="shared" si="1"/>
        <v>2.7671142857142862E-3</v>
      </c>
      <c r="F124" s="5" cm="1">
        <f t="array" ref="F124">_xlfn.IFS(
    AND(C124&gt;C$535,D124&lt;D$535),1,
    AND(C124&gt;C$535,D124&gt;D$535),2,
    AND(C124&lt;C$535,D124&lt;D$535),4,
    AND(C124&lt;C$535,D124&gt;D$535),3,
    TRUE,""
)</f>
        <v>1</v>
      </c>
      <c r="H124" s="5"/>
      <c r="I124" s="5"/>
    </row>
    <row r="125" spans="1:9" x14ac:dyDescent="0.35">
      <c r="A125" s="1" t="s">
        <v>248</v>
      </c>
      <c r="B125" s="2">
        <v>66.153999999999996</v>
      </c>
      <c r="C125" s="2">
        <v>329.702</v>
      </c>
      <c r="D125" s="5">
        <f>+VLOOKUP(A125,Sheet6!A:D,4,0)</f>
        <v>0.21223021582733814</v>
      </c>
      <c r="E125" s="5">
        <f t="shared" si="1"/>
        <v>1.4039877697841726E-2</v>
      </c>
      <c r="F125" s="5" cm="1">
        <f t="array" ref="F125">_xlfn.IFS(
    AND(C125&gt;C$535,D125&lt;D$535),1,
    AND(C125&gt;C$535,D125&gt;D$535),2,
    AND(C125&lt;C$535,D125&lt;D$535),4,
    AND(C125&lt;C$535,D125&gt;D$535),3,
    TRUE,""
)</f>
        <v>1</v>
      </c>
      <c r="H125" s="5"/>
      <c r="I125" s="5"/>
    </row>
    <row r="126" spans="1:9" x14ac:dyDescent="0.35">
      <c r="A126" s="1" t="s">
        <v>249</v>
      </c>
      <c r="B126" s="2">
        <v>24.236000000000001</v>
      </c>
      <c r="C126" s="1">
        <v>0.30867</v>
      </c>
      <c r="D126" s="5">
        <f>+VLOOKUP(A126,Sheet6!A:D,4,0)</f>
        <v>0.18202764976958527</v>
      </c>
      <c r="E126" s="5">
        <f t="shared" si="1"/>
        <v>4.4116221198156691E-3</v>
      </c>
      <c r="F126" s="5" cm="1">
        <f t="array" ref="F126">_xlfn.IFS(
    AND(C126&gt;C$535,D126&lt;D$535),1,
    AND(C126&gt;C$535,D126&gt;D$535),2,
    AND(C126&lt;C$535,D126&lt;D$535),4,
    AND(C126&lt;C$535,D126&gt;D$535),3,
    TRUE,""
)</f>
        <v>4</v>
      </c>
      <c r="H126" s="5"/>
      <c r="I126" s="5"/>
    </row>
    <row r="127" spans="1:9" x14ac:dyDescent="0.35">
      <c r="A127" s="1" t="s">
        <v>250</v>
      </c>
      <c r="B127" s="2">
        <v>60.256</v>
      </c>
      <c r="C127" s="2">
        <v>188.11500000000001</v>
      </c>
      <c r="D127" s="5">
        <f>+VLOOKUP(A127,Sheet6!A:D,4,0)</f>
        <v>0.23474178403755869</v>
      </c>
      <c r="E127" s="5">
        <f t="shared" si="1"/>
        <v>1.4144600938967135E-2</v>
      </c>
      <c r="F127" s="5" cm="1">
        <f t="array" ref="F127">_xlfn.IFS(
    AND(C127&gt;C$535,D127&lt;D$535),1,
    AND(C127&gt;C$535,D127&gt;D$535),2,
    AND(C127&lt;C$535,D127&lt;D$535),4,
    AND(C127&lt;C$535,D127&gt;D$535),3,
    TRUE,""
)</f>
        <v>4</v>
      </c>
      <c r="H127" s="5"/>
      <c r="I127" s="5"/>
    </row>
    <row r="128" spans="1:9" x14ac:dyDescent="0.35">
      <c r="A128" s="1" t="s">
        <v>251</v>
      </c>
      <c r="B128" s="2">
        <v>2.6840000000000002</v>
      </c>
      <c r="C128" s="2">
        <v>167.28100000000001</v>
      </c>
      <c r="D128" s="5">
        <f>+VLOOKUP(A128,Sheet6!A:D,4,0)</f>
        <v>0.33333333333333337</v>
      </c>
      <c r="E128" s="5">
        <f t="shared" si="1"/>
        <v>8.9466666666666687E-4</v>
      </c>
      <c r="F128" s="5" cm="1">
        <f t="array" ref="F128">_xlfn.IFS(
    AND(C128&gt;C$535,D128&lt;D$535),1,
    AND(C128&gt;C$535,D128&gt;D$535),2,
    AND(C128&lt;C$535,D128&lt;D$535),4,
    AND(C128&lt;C$535,D128&gt;D$535),3,
    TRUE,""
)</f>
        <v>3</v>
      </c>
      <c r="H128" s="5"/>
      <c r="I128" s="5"/>
    </row>
    <row r="129" spans="1:9" x14ac:dyDescent="0.35">
      <c r="A129" s="1" t="s">
        <v>252</v>
      </c>
      <c r="B129" s="2">
        <v>7.1029999999999998</v>
      </c>
      <c r="C129" s="2">
        <v>304.52499999999998</v>
      </c>
      <c r="D129" s="5">
        <f>+VLOOKUP(A129,Sheet6!A:D,4,0)</f>
        <v>0.19886363636363635</v>
      </c>
      <c r="E129" s="5">
        <f t="shared" si="1"/>
        <v>1.4125284090909089E-3</v>
      </c>
      <c r="F129" s="5" cm="1">
        <f t="array" ref="F129">_xlfn.IFS(
    AND(C129&gt;C$535,D129&lt;D$535),1,
    AND(C129&gt;C$535,D129&gt;D$535),2,
    AND(C129&lt;C$535,D129&lt;D$535),4,
    AND(C129&lt;C$535,D129&gt;D$535),3,
    TRUE,""
)</f>
        <v>1</v>
      </c>
      <c r="H129" s="5"/>
      <c r="I129" s="5"/>
    </row>
    <row r="130" spans="1:9" x14ac:dyDescent="0.35">
      <c r="A130" s="1" t="s">
        <v>119</v>
      </c>
      <c r="B130" s="2">
        <v>17.361999999999998</v>
      </c>
      <c r="C130" s="2">
        <v>311.60599999999999</v>
      </c>
      <c r="D130" s="5">
        <f>+VLOOKUP(A130,Sheet6!A:D,4,0)</f>
        <v>0.3966480446927374</v>
      </c>
      <c r="E130" s="5">
        <f t="shared" ref="E130:E193" si="2">(B130*D130)/1000</f>
        <v>6.8866033519553059E-3</v>
      </c>
      <c r="F130" s="5" cm="1">
        <f t="array" ref="F130">_xlfn.IFS(
    AND(C130&gt;C$535,D130&lt;D$535),1,
    AND(C130&gt;C$535,D130&gt;D$535),2,
    AND(C130&lt;C$535,D130&lt;D$535),4,
    AND(C130&lt;C$535,D130&gt;D$535),3,
    TRUE,""
)</f>
        <v>2</v>
      </c>
      <c r="H130" s="5"/>
      <c r="I130" s="5"/>
    </row>
    <row r="131" spans="1:9" x14ac:dyDescent="0.35">
      <c r="A131" s="1" t="s">
        <v>253</v>
      </c>
      <c r="B131" s="2">
        <v>76.088999999999999</v>
      </c>
      <c r="C131" s="2">
        <v>200.595</v>
      </c>
      <c r="D131" s="5">
        <f>+VLOOKUP(A131,Sheet6!A:D,4,0)</f>
        <v>0.189556135770235</v>
      </c>
      <c r="E131" s="5">
        <f t="shared" si="2"/>
        <v>1.4423136814621412E-2</v>
      </c>
      <c r="F131" s="5" cm="1">
        <f t="array" ref="F131">_xlfn.IFS(
    AND(C131&gt;C$535,D131&lt;D$535),1,
    AND(C131&gt;C$535,D131&gt;D$535),2,
    AND(C131&lt;C$535,D131&lt;D$535),4,
    AND(C131&lt;C$535,D131&gt;D$535),3,
    TRUE,""
)</f>
        <v>4</v>
      </c>
      <c r="H131" s="5"/>
      <c r="I131" s="5"/>
    </row>
    <row r="132" spans="1:9" x14ac:dyDescent="0.35">
      <c r="A132" s="1" t="s">
        <v>254</v>
      </c>
      <c r="B132" s="2">
        <v>37.652000000000001</v>
      </c>
      <c r="C132" s="1">
        <v>0.16262000000000001</v>
      </c>
      <c r="D132" s="5">
        <f>+VLOOKUP(A132,Sheet6!A:D,4,0)</f>
        <v>0.23852183650615902</v>
      </c>
      <c r="E132" s="5">
        <f t="shared" si="2"/>
        <v>8.9808241881298989E-3</v>
      </c>
      <c r="F132" s="5" cm="1">
        <f t="array" ref="F132">_xlfn.IFS(
    AND(C132&gt;C$535,D132&lt;D$535),1,
    AND(C132&gt;C$535,D132&gt;D$535),2,
    AND(C132&lt;C$535,D132&lt;D$535),4,
    AND(C132&lt;C$535,D132&gt;D$535),3,
    TRUE,""
)</f>
        <v>4</v>
      </c>
      <c r="H132" s="5"/>
      <c r="I132" s="5"/>
    </row>
    <row r="133" spans="1:9" x14ac:dyDescent="0.35">
      <c r="A133" s="1" t="s">
        <v>255</v>
      </c>
      <c r="B133" s="2">
        <v>41.268999999999998</v>
      </c>
      <c r="C133" s="2">
        <v>273.32600000000002</v>
      </c>
      <c r="D133" s="5">
        <f>+VLOOKUP(A133,Sheet6!A:D,4,0)</f>
        <v>0.48766603415559773</v>
      </c>
      <c r="E133" s="5">
        <f t="shared" si="2"/>
        <v>2.0125489563567363E-2</v>
      </c>
      <c r="F133" s="5" cm="1">
        <f t="array" ref="F133">_xlfn.IFS(
    AND(C133&gt;C$535,D133&lt;D$535),1,
    AND(C133&gt;C$535,D133&gt;D$535),2,
    AND(C133&lt;C$535,D133&lt;D$535),4,
    AND(C133&lt;C$535,D133&gt;D$535),3,
    TRUE,""
)</f>
        <v>2</v>
      </c>
      <c r="H133" s="5"/>
      <c r="I133" s="5"/>
    </row>
    <row r="134" spans="1:9" ht="29" x14ac:dyDescent="0.35">
      <c r="A134" s="1" t="s">
        <v>118</v>
      </c>
      <c r="B134" s="2">
        <v>2.6459999999999999</v>
      </c>
      <c r="C134" s="2">
        <v>179.53200000000001</v>
      </c>
      <c r="D134" s="5">
        <f>+VLOOKUP(A134,Sheet6!A:D,4,0)</f>
        <v>0.30232558139534887</v>
      </c>
      <c r="E134" s="5">
        <f t="shared" si="2"/>
        <v>7.9995348837209315E-4</v>
      </c>
      <c r="F134" s="5" cm="1">
        <f t="array" ref="F134">_xlfn.IFS(
    AND(C134&gt;C$535,D134&lt;D$535),1,
    AND(C134&gt;C$535,D134&gt;D$535),2,
    AND(C134&lt;C$535,D134&lt;D$535),4,
    AND(C134&lt;C$535,D134&gt;D$535),3,
    TRUE,""
)</f>
        <v>3</v>
      </c>
      <c r="H134" s="5"/>
      <c r="I134" s="5"/>
    </row>
    <row r="135" spans="1:9" x14ac:dyDescent="0.35">
      <c r="A135" s="1" t="s">
        <v>116</v>
      </c>
      <c r="B135" s="2">
        <v>3.0070000000000001</v>
      </c>
      <c r="C135" s="2">
        <v>228.81100000000001</v>
      </c>
      <c r="D135" s="5">
        <f>+VLOOKUP(A135,Sheet6!A:D,4,0)</f>
        <v>0.13043478260869565</v>
      </c>
      <c r="E135" s="5">
        <f t="shared" si="2"/>
        <v>3.9221739130434785E-4</v>
      </c>
      <c r="F135" s="5" cm="1">
        <f t="array" ref="F135">_xlfn.IFS(
    AND(C135&gt;C$535,D135&lt;D$535),1,
    AND(C135&gt;C$535,D135&gt;D$535),2,
    AND(C135&lt;C$535,D135&lt;D$535),4,
    AND(C135&lt;C$535,D135&gt;D$535),3,
    TRUE,""
)</f>
        <v>4</v>
      </c>
      <c r="H135" s="5"/>
      <c r="I135" s="5"/>
    </row>
    <row r="136" spans="1:9" x14ac:dyDescent="0.35">
      <c r="A136" s="1" t="s">
        <v>256</v>
      </c>
      <c r="B136" s="2">
        <v>77.272000000000006</v>
      </c>
      <c r="C136" s="2">
        <v>275.67599999999999</v>
      </c>
      <c r="D136" s="5">
        <f>+VLOOKUP(A136,Sheet6!A:D,4,0)</f>
        <v>0.10736721873215303</v>
      </c>
      <c r="E136" s="5">
        <f t="shared" si="2"/>
        <v>8.29647972587093E-3</v>
      </c>
      <c r="F136" s="5" cm="1">
        <f t="array" ref="F136">_xlfn.IFS(
    AND(C136&gt;C$535,D136&lt;D$535),1,
    AND(C136&gt;C$535,D136&gt;D$535),2,
    AND(C136&lt;C$535,D136&lt;D$535),4,
    AND(C136&lt;C$535,D136&gt;D$535),3,
    TRUE,""
)</f>
        <v>1</v>
      </c>
      <c r="H136" s="5"/>
      <c r="I136" s="5"/>
    </row>
    <row r="137" spans="1:9" x14ac:dyDescent="0.35">
      <c r="A137" s="1" t="s">
        <v>114</v>
      </c>
      <c r="B137" s="2">
        <v>7.3639999999999999</v>
      </c>
      <c r="C137" s="2">
        <v>294.666</v>
      </c>
      <c r="D137" s="5">
        <f>+VLOOKUP(A137,Sheet6!A:D,4,0)</f>
        <v>0.34375</v>
      </c>
      <c r="E137" s="5">
        <f t="shared" si="2"/>
        <v>2.5313750000000002E-3</v>
      </c>
      <c r="F137" s="5" cm="1">
        <f t="array" ref="F137">_xlfn.IFS(
    AND(C137&gt;C$535,D137&lt;D$535),1,
    AND(C137&gt;C$535,D137&gt;D$535),2,
    AND(C137&lt;C$535,D137&lt;D$535),4,
    AND(C137&lt;C$535,D137&gt;D$535),3,
    TRUE,""
)</f>
        <v>2</v>
      </c>
      <c r="H137" s="5"/>
      <c r="I137" s="5"/>
    </row>
    <row r="138" spans="1:9" x14ac:dyDescent="0.35">
      <c r="A138" s="1" t="s">
        <v>113</v>
      </c>
      <c r="B138" s="2">
        <v>3.3069999999999999</v>
      </c>
      <c r="C138" s="2">
        <v>251.923</v>
      </c>
      <c r="D138" s="5">
        <f>+VLOOKUP(A138,Sheet6!A:D,4,0)</f>
        <v>0.13636363636363635</v>
      </c>
      <c r="E138" s="5">
        <f t="shared" si="2"/>
        <v>4.509545454545454E-4</v>
      </c>
      <c r="F138" s="5" cm="1">
        <f t="array" ref="F138">_xlfn.IFS(
    AND(C138&gt;C$535,D138&lt;D$535),1,
    AND(C138&gt;C$535,D138&gt;D$535),2,
    AND(C138&lt;C$535,D138&lt;D$535),4,
    AND(C138&lt;C$535,D138&gt;D$535),3,
    TRUE,""
)</f>
        <v>1</v>
      </c>
      <c r="H138" s="5"/>
      <c r="I138" s="5"/>
    </row>
    <row r="139" spans="1:9" x14ac:dyDescent="0.35">
      <c r="A139" s="1" t="s">
        <v>112</v>
      </c>
      <c r="B139" s="2">
        <v>9.9979999999999993</v>
      </c>
      <c r="C139" s="2">
        <v>308.14699999999999</v>
      </c>
      <c r="D139" s="5">
        <f>+VLOOKUP(A139,Sheet6!A:D,4,0)</f>
        <v>0.15137614678899083</v>
      </c>
      <c r="E139" s="5">
        <f t="shared" si="2"/>
        <v>1.5134587155963301E-3</v>
      </c>
      <c r="F139" s="5" cm="1">
        <f t="array" ref="F139">_xlfn.IFS(
    AND(C139&gt;C$535,D139&lt;D$535),1,
    AND(C139&gt;C$535,D139&gt;D$535),2,
    AND(C139&lt;C$535,D139&lt;D$535),4,
    AND(C139&lt;C$535,D139&gt;D$535),3,
    TRUE,""
)</f>
        <v>1</v>
      </c>
      <c r="H139" s="5"/>
      <c r="I139" s="5"/>
    </row>
    <row r="140" spans="1:9" x14ac:dyDescent="0.35">
      <c r="A140" s="1" t="s">
        <v>257</v>
      </c>
      <c r="B140" s="1">
        <v>4.3220000000000001E-2</v>
      </c>
      <c r="C140" s="2">
        <v>270.54599999999999</v>
      </c>
      <c r="D140" s="5">
        <f>+VLOOKUP(A140,Sheet6!A:D,4,0)</f>
        <v>0.19043887147335425</v>
      </c>
      <c r="E140" s="5">
        <f t="shared" si="2"/>
        <v>8.2307680250783704E-6</v>
      </c>
      <c r="F140" s="5" cm="1">
        <f t="array" ref="F140">_xlfn.IFS(
    AND(C140&gt;C$535,D140&lt;D$535),1,
    AND(C140&gt;C$535,D140&gt;D$535),2,
    AND(C140&lt;C$535,D140&lt;D$535),4,
    AND(C140&lt;C$535,D140&gt;D$535),3,
    TRUE,""
)</f>
        <v>1</v>
      </c>
      <c r="H140" s="5"/>
      <c r="I140" s="5"/>
    </row>
    <row r="141" spans="1:9" x14ac:dyDescent="0.35">
      <c r="A141" s="1" t="s">
        <v>258</v>
      </c>
      <c r="B141" s="2">
        <v>28.324999999999999</v>
      </c>
      <c r="C141" s="2">
        <v>256.38299999999998</v>
      </c>
      <c r="D141" s="5">
        <f>+VLOOKUP(A141,Sheet6!A:D,4,0)</f>
        <v>0.40657084188911702</v>
      </c>
      <c r="E141" s="5">
        <f t="shared" si="2"/>
        <v>1.151611909650924E-2</v>
      </c>
      <c r="F141" s="5" cm="1">
        <f t="array" ref="F141">_xlfn.IFS(
    AND(C141&gt;C$535,D141&lt;D$535),1,
    AND(C141&gt;C$535,D141&gt;D$535),2,
    AND(C141&lt;C$535,D141&lt;D$535),4,
    AND(C141&lt;C$535,D141&gt;D$535),3,
    TRUE,""
)</f>
        <v>2</v>
      </c>
      <c r="H141" s="5"/>
      <c r="I141" s="5"/>
    </row>
    <row r="142" spans="1:9" x14ac:dyDescent="0.35">
      <c r="A142" s="1" t="s">
        <v>111</v>
      </c>
      <c r="B142" s="2">
        <v>20.541</v>
      </c>
      <c r="C142" s="1">
        <v>0.23826</v>
      </c>
      <c r="D142" s="5">
        <f>+VLOOKUP(A142,Sheet6!A:D,4,0)</f>
        <v>0.39303482587064681</v>
      </c>
      <c r="E142" s="5">
        <f t="shared" si="2"/>
        <v>8.0733283582089567E-3</v>
      </c>
      <c r="F142" s="5" cm="1">
        <f t="array" ref="F142">_xlfn.IFS(
    AND(C142&gt;C$535,D142&lt;D$535),1,
    AND(C142&gt;C$535,D142&gt;D$535),2,
    AND(C142&lt;C$535,D142&lt;D$535),4,
    AND(C142&lt;C$535,D142&gt;D$535),3,
    TRUE,""
)</f>
        <v>3</v>
      </c>
      <c r="H142" s="5"/>
      <c r="I142" s="5"/>
    </row>
    <row r="143" spans="1:9" x14ac:dyDescent="0.35">
      <c r="A143" s="1" t="s">
        <v>259</v>
      </c>
      <c r="B143" s="2">
        <v>10.086</v>
      </c>
      <c r="C143" s="2">
        <v>347.32400000000001</v>
      </c>
      <c r="D143" s="5">
        <f>+VLOOKUP(A143,Sheet6!A:D,4,0)</f>
        <v>0.22619047619047619</v>
      </c>
      <c r="E143" s="5">
        <f t="shared" si="2"/>
        <v>2.2813571428571427E-3</v>
      </c>
      <c r="F143" s="5" cm="1">
        <f t="array" ref="F143">_xlfn.IFS(
    AND(C143&gt;C$535,D143&lt;D$535),1,
    AND(C143&gt;C$535,D143&gt;D$535),2,
    AND(C143&lt;C$535,D143&lt;D$535),4,
    AND(C143&lt;C$535,D143&gt;D$535),3,
    TRUE,""
)</f>
        <v>1</v>
      </c>
      <c r="H143" s="5"/>
      <c r="I143" s="5"/>
    </row>
    <row r="144" spans="1:9" x14ac:dyDescent="0.35">
      <c r="A144" s="1" t="s">
        <v>260</v>
      </c>
      <c r="B144" s="2">
        <v>49.087000000000003</v>
      </c>
      <c r="C144" s="2">
        <v>231.81299999999999</v>
      </c>
      <c r="D144" s="5">
        <f>+VLOOKUP(A144,Sheet6!A:D,4,0)</f>
        <v>0.20907297830374752</v>
      </c>
      <c r="E144" s="5">
        <f t="shared" si="2"/>
        <v>1.0262765285996055E-2</v>
      </c>
      <c r="F144" s="5" cm="1">
        <f t="array" ref="F144">_xlfn.IFS(
    AND(C144&gt;C$535,D144&lt;D$535),1,
    AND(C144&gt;C$535,D144&gt;D$535),2,
    AND(C144&lt;C$535,D144&lt;D$535),4,
    AND(C144&lt;C$535,D144&gt;D$535),3,
    TRUE,""
)</f>
        <v>4</v>
      </c>
      <c r="H144" s="5"/>
      <c r="I144" s="5"/>
    </row>
    <row r="145" spans="1:9" x14ac:dyDescent="0.35">
      <c r="A145" s="1" t="s">
        <v>261</v>
      </c>
      <c r="B145" s="2">
        <v>5.181</v>
      </c>
      <c r="C145" s="2">
        <v>102.68300000000001</v>
      </c>
      <c r="D145" s="5">
        <f>+VLOOKUP(A145,Sheet6!A:D,4,0)</f>
        <v>0.31874999999999998</v>
      </c>
      <c r="E145" s="5">
        <f t="shared" si="2"/>
        <v>1.6514437499999999E-3</v>
      </c>
      <c r="F145" s="5" cm="1">
        <f t="array" ref="F145">_xlfn.IFS(
    AND(C145&gt;C$535,D145&lt;D$535),1,
    AND(C145&gt;C$535,D145&gt;D$535),2,
    AND(C145&lt;C$535,D145&lt;D$535),4,
    AND(C145&lt;C$535,D145&gt;D$535),3,
    TRUE,""
)</f>
        <v>3</v>
      </c>
      <c r="H145" s="5"/>
      <c r="I145" s="5"/>
    </row>
    <row r="146" spans="1:9" x14ac:dyDescent="0.35">
      <c r="A146" s="1" t="s">
        <v>262</v>
      </c>
      <c r="B146" s="2">
        <v>16.817</v>
      </c>
      <c r="C146" s="2">
        <v>369.14400000000001</v>
      </c>
      <c r="D146" s="5">
        <f>+VLOOKUP(A146,Sheet6!A:D,4,0)</f>
        <v>0.145985401459854</v>
      </c>
      <c r="E146" s="5">
        <f t="shared" si="2"/>
        <v>2.4550364963503647E-3</v>
      </c>
      <c r="F146" s="5" cm="1">
        <f t="array" ref="F146">_xlfn.IFS(
    AND(C146&gt;C$535,D146&lt;D$535),1,
    AND(C146&gt;C$535,D146&gt;D$535),2,
    AND(C146&lt;C$535,D146&lt;D$535),4,
    AND(C146&lt;C$535,D146&gt;D$535),3,
    TRUE,""
)</f>
        <v>1</v>
      </c>
      <c r="H146" s="5"/>
      <c r="I146" s="5"/>
    </row>
    <row r="147" spans="1:9" x14ac:dyDescent="0.35">
      <c r="A147" s="1" t="s">
        <v>263</v>
      </c>
      <c r="B147" s="2">
        <v>4.1150000000000002</v>
      </c>
      <c r="C147" s="2">
        <v>187.839</v>
      </c>
      <c r="D147" s="5">
        <f>+VLOOKUP(A147,Sheet6!A:D,4,0)</f>
        <v>0.16867469879518074</v>
      </c>
      <c r="E147" s="5">
        <f t="shared" si="2"/>
        <v>6.9409638554216878E-4</v>
      </c>
      <c r="F147" s="5" cm="1">
        <f t="array" ref="F147">_xlfn.IFS(
    AND(C147&gt;C$535,D147&lt;D$535),1,
    AND(C147&gt;C$535,D147&gt;D$535),2,
    AND(C147&lt;C$535,D147&lt;D$535),4,
    AND(C147&lt;C$535,D147&gt;D$535),3,
    TRUE,""
)</f>
        <v>4</v>
      </c>
      <c r="H147" s="5"/>
      <c r="I147" s="5"/>
    </row>
    <row r="148" spans="1:9" x14ac:dyDescent="0.35">
      <c r="A148" s="1" t="s">
        <v>264</v>
      </c>
      <c r="B148" s="2">
        <v>79.638999999999996</v>
      </c>
      <c r="C148" s="2">
        <v>268.161</v>
      </c>
      <c r="D148" s="5">
        <f>+VLOOKUP(A148,Sheet6!A:D,4,0)</f>
        <v>0.23513658275307978</v>
      </c>
      <c r="E148" s="5">
        <f t="shared" si="2"/>
        <v>1.872604231387252E-2</v>
      </c>
      <c r="F148" s="5" cm="1">
        <f t="array" ref="F148">_xlfn.IFS(
    AND(C148&gt;C$535,D148&lt;D$535),1,
    AND(C148&gt;C$535,D148&gt;D$535),2,
    AND(C148&lt;C$535,D148&lt;D$535),4,
    AND(C148&lt;C$535,D148&gt;D$535),3,
    TRUE,""
)</f>
        <v>1</v>
      </c>
      <c r="H148" s="5"/>
      <c r="I148" s="5"/>
    </row>
    <row r="149" spans="1:9" x14ac:dyDescent="0.35">
      <c r="A149" s="1" t="s">
        <v>265</v>
      </c>
      <c r="B149" s="2">
        <v>65.619</v>
      </c>
      <c r="C149" s="2">
        <v>264.26900000000001</v>
      </c>
      <c r="D149" s="5">
        <f>+VLOOKUP(A149,Sheet6!A:D,4,0)</f>
        <v>0.24505928853754941</v>
      </c>
      <c r="E149" s="5">
        <f t="shared" si="2"/>
        <v>1.6080545454545455E-2</v>
      </c>
      <c r="F149" s="5" cm="1">
        <f t="array" ref="F149">_xlfn.IFS(
    AND(C149&gt;C$535,D149&lt;D$535),1,
    AND(C149&gt;C$535,D149&gt;D$535),2,
    AND(C149&lt;C$535,D149&lt;D$535),4,
    AND(C149&lt;C$535,D149&gt;D$535),3,
    TRUE,""
)</f>
        <v>1</v>
      </c>
      <c r="H149" s="5"/>
      <c r="I149" s="5"/>
    </row>
    <row r="150" spans="1:9" x14ac:dyDescent="0.35">
      <c r="A150" s="1" t="s">
        <v>266</v>
      </c>
      <c r="B150" s="2">
        <v>9.2550000000000008</v>
      </c>
      <c r="C150" s="2">
        <v>221.94200000000001</v>
      </c>
      <c r="D150" s="5">
        <f>+VLOOKUP(A150,Sheet6!A:D,4,0)</f>
        <v>0.67804878048780493</v>
      </c>
      <c r="E150" s="5">
        <f t="shared" si="2"/>
        <v>6.275341463414635E-3</v>
      </c>
      <c r="F150" s="5" cm="1">
        <f t="array" ref="F150">_xlfn.IFS(
    AND(C150&gt;C$535,D150&lt;D$535),1,
    AND(C150&gt;C$535,D150&gt;D$535),2,
    AND(C150&lt;C$535,D150&lt;D$535),4,
    AND(C150&lt;C$535,D150&gt;D$535),3,
    TRUE,""
)</f>
        <v>3</v>
      </c>
      <c r="H150" s="5"/>
      <c r="I150" s="5"/>
    </row>
    <row r="151" spans="1:9" x14ac:dyDescent="0.35">
      <c r="A151" s="1" t="s">
        <v>267</v>
      </c>
      <c r="B151" s="2">
        <v>2.5539999999999998</v>
      </c>
      <c r="C151" s="2">
        <v>306.96100000000001</v>
      </c>
      <c r="D151" s="5">
        <f>+VLOOKUP(A151,Sheet6!A:D,4,0)</f>
        <v>0.44</v>
      </c>
      <c r="E151" s="5">
        <f t="shared" si="2"/>
        <v>1.1237599999999999E-3</v>
      </c>
      <c r="F151" s="5" cm="1">
        <f t="array" ref="F151">_xlfn.IFS(
    AND(C151&gt;C$535,D151&lt;D$535),1,
    AND(C151&gt;C$535,D151&gt;D$535),2,
    AND(C151&lt;C$535,D151&lt;D$535),4,
    AND(C151&lt;C$535,D151&gt;D$535),3,
    TRUE,""
)</f>
        <v>2</v>
      </c>
      <c r="H151" s="5"/>
      <c r="I151" s="5"/>
    </row>
    <row r="152" spans="1:9" x14ac:dyDescent="0.35">
      <c r="A152" s="1" t="s">
        <v>268</v>
      </c>
      <c r="B152" s="2">
        <v>66.268000000000001</v>
      </c>
      <c r="C152" s="2">
        <v>310.86099999999999</v>
      </c>
      <c r="D152" s="5">
        <f>+VLOOKUP(A152,Sheet6!A:D,4,0)</f>
        <v>0.24320987654320989</v>
      </c>
      <c r="E152" s="5">
        <f t="shared" si="2"/>
        <v>1.611703209876543E-2</v>
      </c>
      <c r="F152" s="5" cm="1">
        <f t="array" ref="F152">_xlfn.IFS(
    AND(C152&gt;C$535,D152&lt;D$535),1,
    AND(C152&gt;C$535,D152&gt;D$535),2,
    AND(C152&lt;C$535,D152&lt;D$535),4,
    AND(C152&lt;C$535,D152&gt;D$535),3,
    TRUE,""
)</f>
        <v>1</v>
      </c>
      <c r="H152" s="5"/>
      <c r="I152" s="5"/>
    </row>
    <row r="153" spans="1:9" x14ac:dyDescent="0.35">
      <c r="A153" s="1" t="s">
        <v>269</v>
      </c>
      <c r="B153" s="2">
        <v>49.904000000000003</v>
      </c>
      <c r="C153" s="2">
        <v>394.53399999999999</v>
      </c>
      <c r="D153" s="5">
        <f>+VLOOKUP(A153,Sheet6!A:D,4,0)</f>
        <v>0.10429447852760736</v>
      </c>
      <c r="E153" s="5">
        <f t="shared" si="2"/>
        <v>5.2047116564417177E-3</v>
      </c>
      <c r="F153" s="5" cm="1">
        <f t="array" ref="F153">_xlfn.IFS(
    AND(C153&gt;C$535,D153&lt;D$535),1,
    AND(C153&gt;C$535,D153&gt;D$535),2,
    AND(C153&lt;C$535,D153&lt;D$535),4,
    AND(C153&lt;C$535,D153&gt;D$535),3,
    TRUE,""
)</f>
        <v>1</v>
      </c>
      <c r="H153" s="5"/>
      <c r="I153" s="5"/>
    </row>
    <row r="154" spans="1:9" x14ac:dyDescent="0.35">
      <c r="A154" s="1" t="s">
        <v>270</v>
      </c>
      <c r="B154" s="2">
        <v>36.155999999999999</v>
      </c>
      <c r="C154" s="1">
        <v>0.29619000000000001</v>
      </c>
      <c r="D154" s="5">
        <f>+VLOOKUP(A154,Sheet6!A:D,4,0)</f>
        <v>0.1879815100154083</v>
      </c>
      <c r="E154" s="5">
        <f t="shared" si="2"/>
        <v>6.7966594761171024E-3</v>
      </c>
      <c r="F154" s="5" cm="1">
        <f t="array" ref="F154">_xlfn.IFS(
    AND(C154&gt;C$535,D154&lt;D$535),1,
    AND(C154&gt;C$535,D154&gt;D$535),2,
    AND(C154&lt;C$535,D154&lt;D$535),4,
    AND(C154&lt;C$535,D154&gt;D$535),3,
    TRUE,""
)</f>
        <v>4</v>
      </c>
      <c r="H154" s="5"/>
      <c r="I154" s="5"/>
    </row>
    <row r="155" spans="1:9" x14ac:dyDescent="0.35">
      <c r="A155" s="1" t="s">
        <v>271</v>
      </c>
      <c r="B155" s="2">
        <v>50.798000000000002</v>
      </c>
      <c r="C155" s="2">
        <v>213.25700000000001</v>
      </c>
      <c r="D155" s="5">
        <f>+VLOOKUP(A155,Sheet6!A:D,4,0)</f>
        <v>0.51142225497420779</v>
      </c>
      <c r="E155" s="5">
        <f t="shared" si="2"/>
        <v>2.5979227708179811E-2</v>
      </c>
      <c r="F155" s="5" cm="1">
        <f t="array" ref="F155">_xlfn.IFS(
    AND(C155&gt;C$535,D155&lt;D$535),1,
    AND(C155&gt;C$535,D155&gt;D$535),2,
    AND(C155&lt;C$535,D155&lt;D$535),4,
    AND(C155&lt;C$535,D155&gt;D$535),3,
    TRUE,""
)</f>
        <v>3</v>
      </c>
      <c r="H155" s="5"/>
      <c r="I155" s="5"/>
    </row>
    <row r="156" spans="1:9" x14ac:dyDescent="0.35">
      <c r="A156" s="1" t="s">
        <v>272</v>
      </c>
      <c r="B156" s="2">
        <v>19.227</v>
      </c>
      <c r="C156" s="2">
        <v>398.92899999999997</v>
      </c>
      <c r="D156" s="5">
        <f>+VLOOKUP(A156,Sheet6!A:D,4,0)</f>
        <v>0.21632653061224488</v>
      </c>
      <c r="E156" s="5">
        <f t="shared" si="2"/>
        <v>4.1593102040816321E-3</v>
      </c>
      <c r="F156" s="5" cm="1">
        <f t="array" ref="F156">_xlfn.IFS(
    AND(C156&gt;C$535,D156&lt;D$535),1,
    AND(C156&gt;C$535,D156&gt;D$535),2,
    AND(C156&lt;C$535,D156&lt;D$535),4,
    AND(C156&lt;C$535,D156&gt;D$535),3,
    TRUE,""
)</f>
        <v>1</v>
      </c>
      <c r="H156" s="5"/>
      <c r="I156" s="5"/>
    </row>
    <row r="157" spans="1:9" x14ac:dyDescent="0.35">
      <c r="A157" s="1" t="s">
        <v>273</v>
      </c>
      <c r="B157" s="2">
        <v>23.823</v>
      </c>
      <c r="C157" s="2">
        <v>304.12099999999998</v>
      </c>
      <c r="D157" s="5">
        <f>+VLOOKUP(A157,Sheet6!A:D,4,0)</f>
        <v>0.3</v>
      </c>
      <c r="E157" s="5">
        <f t="shared" si="2"/>
        <v>7.1468999999999994E-3</v>
      </c>
      <c r="F157" s="5" cm="1">
        <f t="array" ref="F157">_xlfn.IFS(
    AND(C157&gt;C$535,D157&lt;D$535),1,
    AND(C157&gt;C$535,D157&gt;D$535),2,
    AND(C157&lt;C$535,D157&lt;D$535),4,
    AND(C157&lt;C$535,D157&gt;D$535),3,
    TRUE,""
)</f>
        <v>2</v>
      </c>
      <c r="H157" s="5"/>
      <c r="I157" s="5"/>
    </row>
    <row r="158" spans="1:9" x14ac:dyDescent="0.35">
      <c r="A158" s="1" t="s">
        <v>109</v>
      </c>
      <c r="B158" s="2">
        <v>4.3810000000000002</v>
      </c>
      <c r="C158" s="2">
        <v>339.85899999999998</v>
      </c>
      <c r="D158" s="5">
        <f>+VLOOKUP(A158,Sheet6!A:D,4,0)</f>
        <v>0.22222222222222224</v>
      </c>
      <c r="E158" s="5">
        <f t="shared" si="2"/>
        <v>9.7355555555555563E-4</v>
      </c>
      <c r="F158" s="5" cm="1">
        <f t="array" ref="F158">_xlfn.IFS(
    AND(C158&gt;C$535,D158&lt;D$535),1,
    AND(C158&gt;C$535,D158&gt;D$535),2,
    AND(C158&lt;C$535,D158&lt;D$535),4,
    AND(C158&lt;C$535,D158&gt;D$535),3,
    TRUE,""
)</f>
        <v>1</v>
      </c>
      <c r="H158" s="5"/>
      <c r="I158" s="5"/>
    </row>
    <row r="159" spans="1:9" x14ac:dyDescent="0.35">
      <c r="A159" s="1" t="s">
        <v>108</v>
      </c>
      <c r="B159" s="2">
        <v>24.495999999999999</v>
      </c>
      <c r="C159" s="2">
        <v>240.08199999999999</v>
      </c>
      <c r="D159" s="5">
        <f>+VLOOKUP(A159,Sheet6!A:D,4,0)</f>
        <v>0.15722120658135283</v>
      </c>
      <c r="E159" s="5">
        <f t="shared" si="2"/>
        <v>3.8512906764168187E-3</v>
      </c>
      <c r="F159" s="5" cm="1">
        <f t="array" ref="F159">_xlfn.IFS(
    AND(C159&gt;C$535,D159&lt;D$535),1,
    AND(C159&gt;C$535,D159&gt;D$535),2,
    AND(C159&lt;C$535,D159&lt;D$535),4,
    AND(C159&lt;C$535,D159&gt;D$535),3,
    TRUE,""
)</f>
        <v>1</v>
      </c>
      <c r="H159" s="5"/>
      <c r="I159" s="5"/>
    </row>
    <row r="160" spans="1:9" x14ac:dyDescent="0.35">
      <c r="A160" s="1" t="s">
        <v>107</v>
      </c>
      <c r="B160" s="2">
        <v>7.7220000000000004</v>
      </c>
      <c r="C160" s="2">
        <v>432.91300000000001</v>
      </c>
      <c r="D160" s="5">
        <f>+VLOOKUP(A160,Sheet6!A:D,4,0)</f>
        <v>0.22510822510822512</v>
      </c>
      <c r="E160" s="5">
        <f t="shared" si="2"/>
        <v>1.7382857142857143E-3</v>
      </c>
      <c r="F160" s="5" cm="1">
        <f t="array" ref="F160">_xlfn.IFS(
    AND(C160&gt;C$535,D160&lt;D$535),1,
    AND(C160&gt;C$535,D160&gt;D$535),2,
    AND(C160&lt;C$535,D160&lt;D$535),4,
    AND(C160&lt;C$535,D160&gt;D$535),3,
    TRUE,""
)</f>
        <v>1</v>
      </c>
      <c r="H160" s="5"/>
      <c r="I160" s="5"/>
    </row>
    <row r="161" spans="1:9" x14ac:dyDescent="0.35">
      <c r="A161" s="1" t="s">
        <v>274</v>
      </c>
      <c r="B161" s="2">
        <v>58.037999999999997</v>
      </c>
      <c r="C161" s="2">
        <v>231.399</v>
      </c>
      <c r="D161" s="5">
        <f>+VLOOKUP(A161,Sheet6!A:D,4,0)</f>
        <v>0.16122004357298478</v>
      </c>
      <c r="E161" s="5">
        <f t="shared" si="2"/>
        <v>9.3568888888888885E-3</v>
      </c>
      <c r="F161" s="5" cm="1">
        <f t="array" ref="F161">_xlfn.IFS(
    AND(C161&gt;C$535,D161&lt;D$535),1,
    AND(C161&gt;C$535,D161&gt;D$535),2,
    AND(C161&lt;C$535,D161&lt;D$535),4,
    AND(C161&lt;C$535,D161&gt;D$535),3,
    TRUE,""
)</f>
        <v>4</v>
      </c>
      <c r="H161" s="5"/>
      <c r="I161" s="5"/>
    </row>
    <row r="162" spans="1:9" x14ac:dyDescent="0.35">
      <c r="A162" s="1" t="s">
        <v>275</v>
      </c>
      <c r="B162" s="2">
        <v>48.484999999999999</v>
      </c>
      <c r="C162" s="2">
        <v>317.45800000000003</v>
      </c>
      <c r="D162" s="5">
        <f>+VLOOKUP(A162,Sheet6!A:D,4,0)</f>
        <v>0.24095458044649729</v>
      </c>
      <c r="E162" s="5">
        <f t="shared" si="2"/>
        <v>1.1682682832948422E-2</v>
      </c>
      <c r="F162" s="5" cm="1">
        <f t="array" ref="F162">_xlfn.IFS(
    AND(C162&gt;C$535,D162&lt;D$535),1,
    AND(C162&gt;C$535,D162&gt;D$535),2,
    AND(C162&lt;C$535,D162&lt;D$535),4,
    AND(C162&lt;C$535,D162&gt;D$535),3,
    TRUE,""
)</f>
        <v>1</v>
      </c>
      <c r="H162" s="5"/>
      <c r="I162" s="5"/>
    </row>
    <row r="163" spans="1:9" x14ac:dyDescent="0.35">
      <c r="A163" s="1" t="s">
        <v>276</v>
      </c>
      <c r="B163" s="2">
        <v>17.295999999999999</v>
      </c>
      <c r="C163" s="2">
        <v>249.18700000000001</v>
      </c>
      <c r="D163" s="5">
        <f>+VLOOKUP(A163,Sheet6!A:D,4,0)</f>
        <v>0.3779904306220096</v>
      </c>
      <c r="E163" s="5">
        <f t="shared" si="2"/>
        <v>6.5377224880382775E-3</v>
      </c>
      <c r="F163" s="5" cm="1">
        <f t="array" ref="F163">_xlfn.IFS(
    AND(C163&gt;C$535,D163&lt;D$535),1,
    AND(C163&gt;C$535,D163&gt;D$535),2,
    AND(C163&lt;C$535,D163&lt;D$535),4,
    AND(C163&lt;C$535,D163&gt;D$535),3,
    TRUE,""
)</f>
        <v>2</v>
      </c>
      <c r="H163" s="5"/>
      <c r="I163" s="5"/>
    </row>
    <row r="164" spans="1:9" x14ac:dyDescent="0.35">
      <c r="A164" s="1" t="s">
        <v>277</v>
      </c>
      <c r="B164" s="1">
        <v>2.8030000000000003E-2</v>
      </c>
      <c r="C164" s="2">
        <v>287.48099999999999</v>
      </c>
      <c r="D164" s="5">
        <f>+VLOOKUP(A164,Sheet6!A:D,4,0)</f>
        <v>0.16856492027334852</v>
      </c>
      <c r="E164" s="5">
        <f t="shared" si="2"/>
        <v>4.7248747152619595E-6</v>
      </c>
      <c r="F164" s="5" cm="1">
        <f t="array" ref="F164">_xlfn.IFS(
    AND(C164&gt;C$535,D164&lt;D$535),1,
    AND(C164&gt;C$535,D164&gt;D$535),2,
    AND(C164&lt;C$535,D164&lt;D$535),4,
    AND(C164&lt;C$535,D164&gt;D$535),3,
    TRUE,""
)</f>
        <v>1</v>
      </c>
      <c r="H164" s="5"/>
      <c r="I164" s="5"/>
    </row>
    <row r="165" spans="1:9" x14ac:dyDescent="0.35">
      <c r="A165" s="1" t="s">
        <v>106</v>
      </c>
      <c r="B165" s="1">
        <v>7.1500000000000001E-3</v>
      </c>
      <c r="C165" s="2">
        <v>200.14599999999999</v>
      </c>
      <c r="D165" s="5">
        <f>+VLOOKUP(A165,Sheet6!A:D,4,0)</f>
        <v>0.2445141065830721</v>
      </c>
      <c r="E165" s="5">
        <f t="shared" si="2"/>
        <v>1.7482758620689656E-6</v>
      </c>
      <c r="F165" s="5" cm="1">
        <f t="array" ref="F165">_xlfn.IFS(
    AND(C165&gt;C$535,D165&lt;D$535),1,
    AND(C165&gt;C$535,D165&gt;D$535),2,
    AND(C165&lt;C$535,D165&lt;D$535),4,
    AND(C165&lt;C$535,D165&gt;D$535),3,
    TRUE,""
)</f>
        <v>4</v>
      </c>
      <c r="H165" s="5"/>
      <c r="I165" s="5"/>
    </row>
    <row r="166" spans="1:9" x14ac:dyDescent="0.35">
      <c r="A166" s="1" t="s">
        <v>105</v>
      </c>
      <c r="B166" s="2">
        <v>11.473000000000001</v>
      </c>
      <c r="C166" s="2">
        <v>271.33800000000002</v>
      </c>
      <c r="D166" s="5">
        <f>+VLOOKUP(A166,Sheet6!A:D,4,0)</f>
        <v>0.21276595744680854</v>
      </c>
      <c r="E166" s="5">
        <f t="shared" si="2"/>
        <v>2.4410638297872348E-3</v>
      </c>
      <c r="F166" s="5" cm="1">
        <f t="array" ref="F166">_xlfn.IFS(
    AND(C166&gt;C$535,D166&lt;D$535),1,
    AND(C166&gt;C$535,D166&gt;D$535),2,
    AND(C166&lt;C$535,D166&lt;D$535),4,
    AND(C166&lt;C$535,D166&gt;D$535),3,
    TRUE,""
)</f>
        <v>1</v>
      </c>
      <c r="H166" s="5"/>
      <c r="I166" s="5"/>
    </row>
    <row r="167" spans="1:9" x14ac:dyDescent="0.35">
      <c r="A167" s="1" t="s">
        <v>279</v>
      </c>
      <c r="B167" s="2">
        <v>7.2119999999999997</v>
      </c>
      <c r="C167" s="2">
        <v>276.07100000000003</v>
      </c>
      <c r="D167" s="5">
        <f>+VLOOKUP(A167,Sheet6!A:D,4,0)</f>
        <v>0.17557251908396945</v>
      </c>
      <c r="E167" s="5">
        <f t="shared" si="2"/>
        <v>1.2662290076335876E-3</v>
      </c>
      <c r="F167" s="5" cm="1">
        <f t="array" ref="F167">_xlfn.IFS(
    AND(C167&gt;C$535,D167&lt;D$535),1,
    AND(C167&gt;C$535,D167&gt;D$535),2,
    AND(C167&lt;C$535,D167&lt;D$535),4,
    AND(C167&lt;C$535,D167&gt;D$535),3,
    TRUE,""
)</f>
        <v>1</v>
      </c>
      <c r="H167" s="5"/>
      <c r="I167" s="5"/>
    </row>
    <row r="168" spans="1:9" x14ac:dyDescent="0.35">
      <c r="A168" s="1" t="s">
        <v>280</v>
      </c>
      <c r="B168" s="2">
        <v>68.835999999999999</v>
      </c>
      <c r="C168" s="2">
        <v>293.23200000000003</v>
      </c>
      <c r="D168" s="5">
        <f>+VLOOKUP(A168,Sheet6!A:D,4,0)</f>
        <v>0.18822674418604651</v>
      </c>
      <c r="E168" s="5">
        <f t="shared" si="2"/>
        <v>1.2956776162790697E-2</v>
      </c>
      <c r="F168" s="5" cm="1">
        <f t="array" ref="F168">_xlfn.IFS(
    AND(C168&gt;C$535,D168&lt;D$535),1,
    AND(C168&gt;C$535,D168&gt;D$535),2,
    AND(C168&lt;C$535,D168&lt;D$535),4,
    AND(C168&lt;C$535,D168&gt;D$535),3,
    TRUE,""
)</f>
        <v>1</v>
      </c>
      <c r="H168" s="5"/>
      <c r="I168" s="5"/>
    </row>
    <row r="169" spans="1:9" x14ac:dyDescent="0.35">
      <c r="A169" s="1" t="s">
        <v>281</v>
      </c>
      <c r="B169" s="2">
        <v>6.4859999999999998</v>
      </c>
      <c r="C169" s="2">
        <v>150.476</v>
      </c>
      <c r="D169" s="5">
        <f>+VLOOKUP(A169,Sheet6!A:D,4,0)</f>
        <v>0.4865900383141763</v>
      </c>
      <c r="E169" s="5">
        <f t="shared" si="2"/>
        <v>3.156022988505747E-3</v>
      </c>
      <c r="F169" s="5" cm="1">
        <f t="array" ref="F169">_xlfn.IFS(
    AND(C169&gt;C$535,D169&lt;D$535),1,
    AND(C169&gt;C$535,D169&gt;D$535),2,
    AND(C169&lt;C$535,D169&lt;D$535),4,
    AND(C169&lt;C$535,D169&gt;D$535),3,
    TRUE,""
)</f>
        <v>3</v>
      </c>
      <c r="H169" s="5"/>
      <c r="I169" s="5"/>
    </row>
    <row r="170" spans="1:9" x14ac:dyDescent="0.35">
      <c r="A170" s="1" t="s">
        <v>282</v>
      </c>
      <c r="B170" s="2">
        <v>18.614999999999998</v>
      </c>
      <c r="C170" s="1">
        <v>0.22283</v>
      </c>
      <c r="D170" s="5">
        <f>+VLOOKUP(A170,Sheet6!A:D,4,0)</f>
        <v>0.2857142857142857</v>
      </c>
      <c r="E170" s="5">
        <f t="shared" si="2"/>
        <v>5.3185714285714277E-3</v>
      </c>
      <c r="F170" s="5" cm="1">
        <f t="array" ref="F170">_xlfn.IFS(
    AND(C170&gt;C$535,D170&lt;D$535),1,
    AND(C170&gt;C$535,D170&gt;D$535),2,
    AND(C170&lt;C$535,D170&lt;D$535),4,
    AND(C170&lt;C$535,D170&gt;D$535),3,
    TRUE,""
)</f>
        <v>3</v>
      </c>
      <c r="H170" s="5"/>
      <c r="I170" s="5"/>
    </row>
    <row r="171" spans="1:9" ht="29" x14ac:dyDescent="0.35">
      <c r="A171" s="1" t="s">
        <v>283</v>
      </c>
      <c r="B171" s="2">
        <v>58.231999999999999</v>
      </c>
      <c r="C171" s="2">
        <v>284.226</v>
      </c>
      <c r="D171" s="5">
        <f>+VLOOKUP(A171,Sheet6!A:D,4,0)</f>
        <v>0.1040268456375839</v>
      </c>
      <c r="E171" s="5">
        <f t="shared" si="2"/>
        <v>6.0576912751677857E-3</v>
      </c>
      <c r="F171" s="5" cm="1">
        <f t="array" ref="F171">_xlfn.IFS(
    AND(C171&gt;C$535,D171&lt;D$535),1,
    AND(C171&gt;C$535,D171&gt;D$535),2,
    AND(C171&lt;C$535,D171&lt;D$535),4,
    AND(C171&lt;C$535,D171&gt;D$535),3,
    TRUE,""
)</f>
        <v>1</v>
      </c>
      <c r="H171" s="5"/>
      <c r="I171" s="5"/>
    </row>
    <row r="172" spans="1:9" x14ac:dyDescent="0.35">
      <c r="A172" s="1" t="s">
        <v>284</v>
      </c>
      <c r="B172" s="2">
        <v>38.302</v>
      </c>
      <c r="C172" s="2">
        <v>347.11399999999998</v>
      </c>
      <c r="D172" s="5">
        <f>+VLOOKUP(A172,Sheet6!A:D,4,0)</f>
        <v>0.14384748700173311</v>
      </c>
      <c r="E172" s="5">
        <f t="shared" si="2"/>
        <v>5.509646447140382E-3</v>
      </c>
      <c r="F172" s="5" cm="1">
        <f t="array" ref="F172">_xlfn.IFS(
    AND(C172&gt;C$535,D172&lt;D$535),1,
    AND(C172&gt;C$535,D172&gt;D$535),2,
    AND(C172&lt;C$535,D172&lt;D$535),4,
    AND(C172&lt;C$535,D172&gt;D$535),3,
    TRUE,""
)</f>
        <v>1</v>
      </c>
      <c r="H172" s="5"/>
      <c r="I172" s="5"/>
    </row>
    <row r="173" spans="1:9" x14ac:dyDescent="0.35">
      <c r="A173" s="1" t="s">
        <v>104</v>
      </c>
      <c r="B173" s="2">
        <v>25.861999999999998</v>
      </c>
      <c r="C173" s="2">
        <v>264.09199999999998</v>
      </c>
      <c r="D173" s="5">
        <f>+VLOOKUP(A173,Sheet6!A:D,4,0)</f>
        <v>0.14143094841930118</v>
      </c>
      <c r="E173" s="5">
        <f t="shared" si="2"/>
        <v>3.657687188019967E-3</v>
      </c>
      <c r="F173" s="5" cm="1">
        <f t="array" ref="F173">_xlfn.IFS(
    AND(C173&gt;C$535,D173&lt;D$535),1,
    AND(C173&gt;C$535,D173&gt;D$535),2,
    AND(C173&lt;C$535,D173&lt;D$535),4,
    AND(C173&lt;C$535,D173&gt;D$535),3,
    TRUE,""
)</f>
        <v>1</v>
      </c>
      <c r="H173" s="5"/>
      <c r="I173" s="5"/>
    </row>
    <row r="174" spans="1:9" x14ac:dyDescent="0.35">
      <c r="A174" s="1" t="s">
        <v>285</v>
      </c>
      <c r="B174" s="2">
        <v>6.9470000000000001</v>
      </c>
      <c r="C174" s="2">
        <v>254.64599999999999</v>
      </c>
      <c r="D174" s="5">
        <f>+VLOOKUP(A174,Sheet6!A:D,4,0)</f>
        <v>0.20224719101123595</v>
      </c>
      <c r="E174" s="5">
        <f t="shared" si="2"/>
        <v>1.4050112359550561E-3</v>
      </c>
      <c r="F174" s="5" cm="1">
        <f t="array" ref="F174">_xlfn.IFS(
    AND(C174&gt;C$535,D174&lt;D$535),1,
    AND(C174&gt;C$535,D174&gt;D$535),2,
    AND(C174&lt;C$535,D174&lt;D$535),4,
    AND(C174&lt;C$535,D174&gt;D$535),3,
    TRUE,""
)</f>
        <v>1</v>
      </c>
      <c r="H174" s="5"/>
      <c r="I174" s="5"/>
    </row>
    <row r="175" spans="1:9" x14ac:dyDescent="0.35">
      <c r="A175" s="1" t="s">
        <v>286</v>
      </c>
      <c r="B175" s="2">
        <v>14.597</v>
      </c>
      <c r="C175" s="2">
        <v>178.12100000000001</v>
      </c>
      <c r="D175" s="5">
        <f>+VLOOKUP(A175,Sheet6!A:D,4,0)</f>
        <v>0.29621848739495799</v>
      </c>
      <c r="E175" s="5">
        <f t="shared" si="2"/>
        <v>4.3239012605042013E-3</v>
      </c>
      <c r="F175" s="5" cm="1">
        <f t="array" ref="F175">_xlfn.IFS(
    AND(C175&gt;C$535,D175&lt;D$535),1,
    AND(C175&gt;C$535,D175&gt;D$535),2,
    AND(C175&lt;C$535,D175&lt;D$535),4,
    AND(C175&lt;C$535,D175&gt;D$535),3,
    TRUE,""
)</f>
        <v>3</v>
      </c>
      <c r="H175" s="5"/>
      <c r="I175" s="5"/>
    </row>
    <row r="176" spans="1:9" x14ac:dyDescent="0.35">
      <c r="A176" s="1" t="s">
        <v>287</v>
      </c>
      <c r="B176" s="2">
        <v>5.2409999999999997</v>
      </c>
      <c r="C176" s="1">
        <v>0.22131999999999999</v>
      </c>
      <c r="D176" s="5">
        <f>+VLOOKUP(A176,Sheet6!A:D,4,0)</f>
        <v>0.30810810810810807</v>
      </c>
      <c r="E176" s="5">
        <f t="shared" si="2"/>
        <v>1.6147945945945944E-3</v>
      </c>
      <c r="F176" s="5" cm="1">
        <f t="array" ref="F176">_xlfn.IFS(
    AND(C176&gt;C$535,D176&lt;D$535),1,
    AND(C176&gt;C$535,D176&gt;D$535),2,
    AND(C176&lt;C$535,D176&lt;D$535),4,
    AND(C176&lt;C$535,D176&gt;D$535),3,
    TRUE,""
)</f>
        <v>3</v>
      </c>
      <c r="H176" s="5"/>
      <c r="I176" s="5"/>
    </row>
    <row r="177" spans="1:9" x14ac:dyDescent="0.35">
      <c r="A177" s="1" t="s">
        <v>103</v>
      </c>
      <c r="B177" s="2">
        <v>4.2140000000000004</v>
      </c>
      <c r="C177" s="2">
        <v>194.80699999999999</v>
      </c>
      <c r="D177" s="5">
        <f>+VLOOKUP(A177,Sheet6!A:D,4,0)</f>
        <v>0.47115384615384615</v>
      </c>
      <c r="E177" s="5">
        <f t="shared" si="2"/>
        <v>1.9854423076923079E-3</v>
      </c>
      <c r="F177" s="5" cm="1">
        <f t="array" ref="F177">_xlfn.IFS(
    AND(C177&gt;C$535,D177&lt;D$535),1,
    AND(C177&gt;C$535,D177&gt;D$535),2,
    AND(C177&lt;C$535,D177&lt;D$535),4,
    AND(C177&lt;C$535,D177&gt;D$535),3,
    TRUE,""
)</f>
        <v>3</v>
      </c>
      <c r="H177" s="5"/>
      <c r="I177" s="5"/>
    </row>
    <row r="178" spans="1:9" x14ac:dyDescent="0.35">
      <c r="A178" s="1" t="s">
        <v>288</v>
      </c>
      <c r="B178" s="2">
        <v>12.340999999999999</v>
      </c>
      <c r="C178" s="2">
        <v>137.351</v>
      </c>
      <c r="D178" s="5">
        <f>+VLOOKUP(A178,Sheet6!A:D,4,0)</f>
        <v>0.39732142857142855</v>
      </c>
      <c r="E178" s="5">
        <f t="shared" si="2"/>
        <v>4.9033437499999997E-3</v>
      </c>
      <c r="F178" s="5" cm="1">
        <f t="array" ref="F178">_xlfn.IFS(
    AND(C178&gt;C$535,D178&lt;D$535),1,
    AND(C178&gt;C$535,D178&gt;D$535),2,
    AND(C178&lt;C$535,D178&lt;D$535),4,
    AND(C178&lt;C$535,D178&gt;D$535),3,
    TRUE,""
)</f>
        <v>3</v>
      </c>
      <c r="H178" s="5"/>
      <c r="I178" s="5"/>
    </row>
    <row r="179" spans="1:9" x14ac:dyDescent="0.35">
      <c r="A179" s="1" t="s">
        <v>289</v>
      </c>
      <c r="B179" s="2">
        <v>16.971</v>
      </c>
      <c r="C179" s="2">
        <v>276.83300000000003</v>
      </c>
      <c r="D179" s="5">
        <f>+VLOOKUP(A179,Sheet6!A:D,4,0)</f>
        <v>0.49352750809061491</v>
      </c>
      <c r="E179" s="5">
        <f t="shared" si="2"/>
        <v>8.3756553398058268E-3</v>
      </c>
      <c r="F179" s="5" cm="1">
        <f t="array" ref="F179">_xlfn.IFS(
    AND(C179&gt;C$535,D179&lt;D$535),1,
    AND(C179&gt;C$535,D179&gt;D$535),2,
    AND(C179&lt;C$535,D179&lt;D$535),4,
    AND(C179&lt;C$535,D179&gt;D$535),3,
    TRUE,""
)</f>
        <v>2</v>
      </c>
      <c r="H179" s="5"/>
      <c r="I179" s="5"/>
    </row>
    <row r="180" spans="1:9" x14ac:dyDescent="0.35">
      <c r="A180" s="1" t="s">
        <v>290</v>
      </c>
      <c r="B180" s="2">
        <v>2.7130000000000001</v>
      </c>
      <c r="C180" s="1">
        <v>0.12570999999999999</v>
      </c>
      <c r="D180" s="5">
        <f>+VLOOKUP(A180,Sheet6!A:D,4,0)</f>
        <v>0.59574468085106391</v>
      </c>
      <c r="E180" s="5">
        <f t="shared" si="2"/>
        <v>1.6162553191489365E-3</v>
      </c>
      <c r="F180" s="5" cm="1">
        <f t="array" ref="F180">_xlfn.IFS(
    AND(C180&gt;C$535,D180&lt;D$535),1,
    AND(C180&gt;C$535,D180&gt;D$535),2,
    AND(C180&lt;C$535,D180&lt;D$535),4,
    AND(C180&lt;C$535,D180&gt;D$535),3,
    TRUE,""
)</f>
        <v>3</v>
      </c>
      <c r="H180" s="5"/>
      <c r="I180" s="5"/>
    </row>
    <row r="181" spans="1:9" ht="29" x14ac:dyDescent="0.35">
      <c r="A181" s="1" t="s">
        <v>291</v>
      </c>
      <c r="B181" s="1">
        <v>2.7899999999999999E-3</v>
      </c>
      <c r="C181" s="2">
        <v>112.89400000000001</v>
      </c>
      <c r="D181" s="5">
        <f>+VLOOKUP(A181,Sheet6!A:D,4,0)</f>
        <v>0.25</v>
      </c>
      <c r="E181" s="5">
        <f t="shared" si="2"/>
        <v>6.9749999999999999E-7</v>
      </c>
      <c r="F181" s="5" cm="1">
        <f t="array" ref="F181">_xlfn.IFS(
    AND(C181&gt;C$535,D181&lt;D$535),1,
    AND(C181&gt;C$535,D181&gt;D$535),2,
    AND(C181&lt;C$535,D181&lt;D$535),4,
    AND(C181&lt;C$535,D181&gt;D$535),3,
    TRUE,""
)</f>
        <v>4</v>
      </c>
      <c r="H181" s="5"/>
      <c r="I181" s="5"/>
    </row>
    <row r="182" spans="1:9" x14ac:dyDescent="0.35">
      <c r="A182" s="1" t="s">
        <v>292</v>
      </c>
      <c r="B182" s="2">
        <v>23.529</v>
      </c>
      <c r="C182" s="2">
        <v>275.36200000000002</v>
      </c>
      <c r="D182" s="5">
        <f>+VLOOKUP(A182,Sheet6!A:D,4,0)</f>
        <v>0.28360413589364847</v>
      </c>
      <c r="E182" s="5">
        <f t="shared" si="2"/>
        <v>6.6729217134416548E-3</v>
      </c>
      <c r="F182" s="5" cm="1">
        <f t="array" ref="F182">_xlfn.IFS(
    AND(C182&gt;C$535,D182&lt;D$535),1,
    AND(C182&gt;C$535,D182&gt;D$535),2,
    AND(C182&lt;C$535,D182&lt;D$535),4,
    AND(C182&lt;C$535,D182&gt;D$535),3,
    TRUE,""
)</f>
        <v>2</v>
      </c>
      <c r="H182" s="5"/>
      <c r="I182" s="5"/>
    </row>
    <row r="183" spans="1:9" x14ac:dyDescent="0.35">
      <c r="A183" s="1" t="s">
        <v>293</v>
      </c>
      <c r="B183" s="2">
        <v>44.704999999999998</v>
      </c>
      <c r="C183" s="2">
        <v>334.39499999999998</v>
      </c>
      <c r="D183" s="5">
        <f>+VLOOKUP(A183,Sheet6!A:D,4,0)</f>
        <v>0.14365671641791045</v>
      </c>
      <c r="E183" s="5">
        <f t="shared" si="2"/>
        <v>6.4221735074626862E-3</v>
      </c>
      <c r="F183" s="5" cm="1">
        <f t="array" ref="F183">_xlfn.IFS(
    AND(C183&gt;C$535,D183&lt;D$535),1,
    AND(C183&gt;C$535,D183&gt;D$535),2,
    AND(C183&lt;C$535,D183&lt;D$535),4,
    AND(C183&lt;C$535,D183&gt;D$535),3,
    TRUE,""
)</f>
        <v>1</v>
      </c>
      <c r="H183" s="5"/>
      <c r="I183" s="5"/>
    </row>
    <row r="184" spans="1:9" x14ac:dyDescent="0.35">
      <c r="A184" s="1" t="s">
        <v>102</v>
      </c>
      <c r="B184" s="2">
        <v>7.3630000000000004</v>
      </c>
      <c r="C184" s="1">
        <v>0.28874</v>
      </c>
      <c r="D184" s="5">
        <f>+VLOOKUP(A184,Sheet6!A:D,4,0)</f>
        <v>0.28703703703703703</v>
      </c>
      <c r="E184" s="5">
        <f t="shared" si="2"/>
        <v>2.1134537037037042E-3</v>
      </c>
      <c r="F184" s="5" cm="1">
        <f t="array" ref="F184">_xlfn.IFS(
    AND(C184&gt;C$535,D184&lt;D$535),1,
    AND(C184&gt;C$535,D184&gt;D$535),2,
    AND(C184&lt;C$535,D184&lt;D$535),4,
    AND(C184&lt;C$535,D184&gt;D$535),3,
    TRUE,""
)</f>
        <v>3</v>
      </c>
      <c r="H184" s="5"/>
      <c r="I184" s="5"/>
    </row>
    <row r="185" spans="1:9" x14ac:dyDescent="0.35">
      <c r="A185" s="1" t="s">
        <v>101</v>
      </c>
      <c r="B185" s="2">
        <v>8.0350000000000001</v>
      </c>
      <c r="C185" s="2">
        <v>254.63200000000001</v>
      </c>
      <c r="D185" s="5">
        <f>+VLOOKUP(A185,Sheet6!A:D,4,0)</f>
        <v>9.0909090909090912E-2</v>
      </c>
      <c r="E185" s="5">
        <f t="shared" si="2"/>
        <v>7.3045454545454542E-4</v>
      </c>
      <c r="F185" s="5" cm="1">
        <f t="array" ref="F185">_xlfn.IFS(
    AND(C185&gt;C$535,D185&lt;D$535),1,
    AND(C185&gt;C$535,D185&gt;D$535),2,
    AND(C185&lt;C$535,D185&lt;D$535),4,
    AND(C185&lt;C$535,D185&gt;D$535),3,
    TRUE,""
)</f>
        <v>1</v>
      </c>
      <c r="H185" s="5"/>
      <c r="I185" s="5"/>
    </row>
    <row r="186" spans="1:9" x14ac:dyDescent="0.35">
      <c r="A186" s="1" t="s">
        <v>294</v>
      </c>
      <c r="B186" s="1">
        <v>1.486E-2</v>
      </c>
      <c r="C186" s="2">
        <v>324.23399999999998</v>
      </c>
      <c r="D186" s="5">
        <f>+VLOOKUP(A186,Sheet6!A:D,4,0)</f>
        <v>9.2909535452322736E-2</v>
      </c>
      <c r="E186" s="5">
        <f t="shared" si="2"/>
        <v>1.3806356968215159E-6</v>
      </c>
      <c r="F186" s="5" cm="1">
        <f t="array" ref="F186">_xlfn.IFS(
    AND(C186&gt;C$535,D186&lt;D$535),1,
    AND(C186&gt;C$535,D186&gt;D$535),2,
    AND(C186&lt;C$535,D186&lt;D$535),4,
    AND(C186&lt;C$535,D186&gt;D$535),3,
    TRUE,""
)</f>
        <v>1</v>
      </c>
      <c r="H186" s="5"/>
      <c r="I186" s="5"/>
    </row>
    <row r="187" spans="1:9" x14ac:dyDescent="0.35">
      <c r="A187" s="1" t="s">
        <v>100</v>
      </c>
      <c r="B187" s="2">
        <v>14.026999999999999</v>
      </c>
      <c r="C187" s="2">
        <v>195.18899999999999</v>
      </c>
      <c r="D187" s="5">
        <f>+VLOOKUP(A187,Sheet6!A:D,4,0)</f>
        <v>0.3129973474801061</v>
      </c>
      <c r="E187" s="5">
        <f t="shared" si="2"/>
        <v>4.3904137931034485E-3</v>
      </c>
      <c r="F187" s="5" cm="1">
        <f t="array" ref="F187">_xlfn.IFS(
    AND(C187&gt;C$535,D187&lt;D$535),1,
    AND(C187&gt;C$535,D187&gt;D$535),2,
    AND(C187&lt;C$535,D187&lt;D$535),4,
    AND(C187&lt;C$535,D187&gt;D$535),3,
    TRUE,""
)</f>
        <v>3</v>
      </c>
      <c r="H187" s="5"/>
      <c r="I187" s="5"/>
    </row>
    <row r="188" spans="1:9" x14ac:dyDescent="0.35">
      <c r="A188" s="1" t="s">
        <v>295</v>
      </c>
      <c r="B188" s="1">
        <v>6.0469999999999996E-2</v>
      </c>
      <c r="C188" s="2">
        <v>268.43099999999998</v>
      </c>
      <c r="D188" s="5">
        <f>+VLOOKUP(A188,Sheet6!A:D,4,0)</f>
        <v>0.20115774240231546</v>
      </c>
      <c r="E188" s="5">
        <f t="shared" si="2"/>
        <v>1.2164008683068015E-5</v>
      </c>
      <c r="F188" s="5" cm="1">
        <f t="array" ref="F188">_xlfn.IFS(
    AND(C188&gt;C$535,D188&lt;D$535),1,
    AND(C188&gt;C$535,D188&gt;D$535),2,
    AND(C188&lt;C$535,D188&lt;D$535),4,
    AND(C188&lt;C$535,D188&gt;D$535),3,
    TRUE,""
)</f>
        <v>1</v>
      </c>
      <c r="H188" s="5"/>
      <c r="I188" s="5"/>
    </row>
    <row r="189" spans="1:9" x14ac:dyDescent="0.35">
      <c r="A189" s="1" t="s">
        <v>99</v>
      </c>
      <c r="B189" s="2">
        <v>25.745999999999999</v>
      </c>
      <c r="C189" s="2">
        <v>401.26299999999998</v>
      </c>
      <c r="D189" s="5">
        <f>+VLOOKUP(A189,Sheet6!A:D,4,0)</f>
        <v>0.21649484536082475</v>
      </c>
      <c r="E189" s="5">
        <f t="shared" si="2"/>
        <v>5.5738762886597942E-3</v>
      </c>
      <c r="F189" s="5" cm="1">
        <f t="array" ref="F189">_xlfn.IFS(
    AND(C189&gt;C$535,D189&lt;D$535),1,
    AND(C189&gt;C$535,D189&gt;D$535),2,
    AND(C189&lt;C$535,D189&lt;D$535),4,
    AND(C189&lt;C$535,D189&gt;D$535),3,
    TRUE,""
)</f>
        <v>1</v>
      </c>
      <c r="H189" s="5"/>
      <c r="I189" s="5"/>
    </row>
    <row r="190" spans="1:9" x14ac:dyDescent="0.35">
      <c r="A190" s="1" t="s">
        <v>296</v>
      </c>
      <c r="B190" s="2">
        <v>5.1719999999999997</v>
      </c>
      <c r="C190" s="2">
        <v>178.85900000000001</v>
      </c>
      <c r="D190" s="5">
        <f>+VLOOKUP(A190,Sheet6!A:D,4,0)</f>
        <v>0.53164556962025311</v>
      </c>
      <c r="E190" s="5">
        <f t="shared" si="2"/>
        <v>2.7496708860759492E-3</v>
      </c>
      <c r="F190" s="5" cm="1">
        <f t="array" ref="F190">_xlfn.IFS(
    AND(C190&gt;C$535,D190&lt;D$535),1,
    AND(C190&gt;C$535,D190&gt;D$535),2,
    AND(C190&lt;C$535,D190&lt;D$535),4,
    AND(C190&lt;C$535,D190&gt;D$535),3,
    TRUE,""
)</f>
        <v>3</v>
      </c>
      <c r="H190" s="5"/>
      <c r="I190" s="5"/>
    </row>
    <row r="191" spans="1:9" ht="29" x14ac:dyDescent="0.35">
      <c r="A191" s="1" t="s">
        <v>297</v>
      </c>
      <c r="B191" s="2">
        <v>20.263999999999999</v>
      </c>
      <c r="C191" s="2">
        <v>268.60599999999999</v>
      </c>
      <c r="D191" s="5">
        <f>+VLOOKUP(A191,Sheet6!A:D,4,0)</f>
        <v>0.27086882453151617</v>
      </c>
      <c r="E191" s="5">
        <f t="shared" si="2"/>
        <v>5.4888858603066434E-3</v>
      </c>
      <c r="F191" s="5" cm="1">
        <f t="array" ref="F191">_xlfn.IFS(
    AND(C191&gt;C$535,D191&lt;D$535),1,
    AND(C191&gt;C$535,D191&gt;D$535),2,
    AND(C191&lt;C$535,D191&lt;D$535),4,
    AND(C191&lt;C$535,D191&gt;D$535),3,
    TRUE,""
)</f>
        <v>2</v>
      </c>
      <c r="H191" s="5"/>
      <c r="I191" s="5"/>
    </row>
    <row r="192" spans="1:9" x14ac:dyDescent="0.35">
      <c r="A192" s="1" t="s">
        <v>298</v>
      </c>
      <c r="B192" s="2">
        <v>2.8820000000000001</v>
      </c>
      <c r="C192" s="2">
        <v>122.133</v>
      </c>
      <c r="D192" s="5">
        <f>+VLOOKUP(A192,Sheet6!A:D,4,0)</f>
        <v>0.26923076923076927</v>
      </c>
      <c r="E192" s="5">
        <f t="shared" si="2"/>
        <v>7.7592307692307704E-4</v>
      </c>
      <c r="F192" s="5" cm="1">
        <f t="array" ref="F192">_xlfn.IFS(
    AND(C192&gt;C$535,D192&lt;D$535),1,
    AND(C192&gt;C$535,D192&gt;D$535),2,
    AND(C192&lt;C$535,D192&lt;D$535),4,
    AND(C192&lt;C$535,D192&gt;D$535),3,
    TRUE,""
)</f>
        <v>3</v>
      </c>
      <c r="H192" s="5"/>
      <c r="I192" s="5"/>
    </row>
    <row r="193" spans="1:9" x14ac:dyDescent="0.35">
      <c r="A193" s="1" t="s">
        <v>98</v>
      </c>
      <c r="B193" s="2">
        <v>58.262999999999998</v>
      </c>
      <c r="C193" s="2">
        <v>226.285</v>
      </c>
      <c r="D193" s="5">
        <f>+VLOOKUP(A193,Sheet6!A:D,4,0)</f>
        <v>0.29884225759768451</v>
      </c>
      <c r="E193" s="5">
        <f t="shared" si="2"/>
        <v>1.7411446454413892E-2</v>
      </c>
      <c r="F193" s="5" cm="1">
        <f t="array" ref="F193">_xlfn.IFS(
    AND(C193&gt;C$535,D193&lt;D$535),1,
    AND(C193&gt;C$535,D193&gt;D$535),2,
    AND(C193&lt;C$535,D193&lt;D$535),4,
    AND(C193&lt;C$535,D193&gt;D$535),3,
    TRUE,""
)</f>
        <v>3</v>
      </c>
      <c r="H193" s="5"/>
      <c r="I193" s="5"/>
    </row>
    <row r="194" spans="1:9" x14ac:dyDescent="0.35">
      <c r="A194" s="1" t="s">
        <v>300</v>
      </c>
      <c r="B194" s="2">
        <v>10.196</v>
      </c>
      <c r="C194" s="2">
        <v>331.21899999999999</v>
      </c>
      <c r="D194" s="5">
        <f>+VLOOKUP(A194,Sheet6!A:D,4,0)</f>
        <v>0.29166666666666663</v>
      </c>
      <c r="E194" s="5">
        <f t="shared" ref="E194:E257" si="3">(B194*D194)/1000</f>
        <v>2.9738333333333327E-3</v>
      </c>
      <c r="F194" s="5" cm="1">
        <f t="array" ref="F194">_xlfn.IFS(
    AND(C194&gt;C$535,D194&lt;D$535),1,
    AND(C194&gt;C$535,D194&gt;D$535),2,
    AND(C194&lt;C$535,D194&lt;D$535),4,
    AND(C194&lt;C$535,D194&gt;D$535),3,
    TRUE,""
)</f>
        <v>2</v>
      </c>
      <c r="H194" s="5"/>
      <c r="I194" s="5"/>
    </row>
    <row r="195" spans="1:9" x14ac:dyDescent="0.35">
      <c r="A195" s="1" t="s">
        <v>301</v>
      </c>
      <c r="B195" s="2">
        <v>48.972999999999999</v>
      </c>
      <c r="C195" s="2">
        <v>267.28800000000001</v>
      </c>
      <c r="D195" s="5">
        <f>+VLOOKUP(A195,Sheet6!A:D,4,0)</f>
        <v>0.31541218637992835</v>
      </c>
      <c r="E195" s="5">
        <f t="shared" si="3"/>
        <v>1.5446681003584232E-2</v>
      </c>
      <c r="F195" s="5" cm="1">
        <f t="array" ref="F195">_xlfn.IFS(
    AND(C195&gt;C$535,D195&lt;D$535),1,
    AND(C195&gt;C$535,D195&gt;D$535),2,
    AND(C195&lt;C$535,D195&lt;D$535),4,
    AND(C195&lt;C$535,D195&gt;D$535),3,
    TRUE,""
)</f>
        <v>2</v>
      </c>
      <c r="H195" s="5"/>
      <c r="I195" s="5"/>
    </row>
    <row r="196" spans="1:9" x14ac:dyDescent="0.35">
      <c r="A196" s="1" t="s">
        <v>302</v>
      </c>
      <c r="B196" s="1">
        <v>6.79E-3</v>
      </c>
      <c r="C196" s="2">
        <v>344.904</v>
      </c>
      <c r="D196" s="5">
        <f>+VLOOKUP(A196,Sheet6!A:D,4,0)</f>
        <v>0.19554455445544555</v>
      </c>
      <c r="E196" s="5">
        <f t="shared" si="3"/>
        <v>1.3277475247524751E-6</v>
      </c>
      <c r="F196" s="5" cm="1">
        <f t="array" ref="F196">_xlfn.IFS(
    AND(C196&gt;C$535,D196&lt;D$535),1,
    AND(C196&gt;C$535,D196&gt;D$535),2,
    AND(C196&lt;C$535,D196&lt;D$535),4,
    AND(C196&lt;C$535,D196&gt;D$535),3,
    TRUE,""
)</f>
        <v>1</v>
      </c>
      <c r="H196" s="5"/>
      <c r="I196" s="5"/>
    </row>
    <row r="197" spans="1:9" ht="29" x14ac:dyDescent="0.35">
      <c r="A197" s="1" t="s">
        <v>303</v>
      </c>
      <c r="B197" s="2">
        <v>25.245000000000001</v>
      </c>
      <c r="C197" s="2">
        <v>240.566</v>
      </c>
      <c r="D197" s="5">
        <f>+VLOOKUP(A197,Sheet6!A:D,4,0)</f>
        <v>0.21499013806706116</v>
      </c>
      <c r="E197" s="5">
        <f t="shared" si="3"/>
        <v>5.427426035502959E-3</v>
      </c>
      <c r="F197" s="5" cm="1">
        <f t="array" ref="F197">_xlfn.IFS(
    AND(C197&gt;C$535,D197&lt;D$535),1,
    AND(C197&gt;C$535,D197&gt;D$535),2,
    AND(C197&lt;C$535,D197&lt;D$535),4,
    AND(C197&lt;C$535,D197&gt;D$535),3,
    TRUE,""
)</f>
        <v>1</v>
      </c>
      <c r="H197" s="5"/>
      <c r="I197" s="5"/>
    </row>
    <row r="198" spans="1:9" x14ac:dyDescent="0.35">
      <c r="A198" s="1" t="s">
        <v>304</v>
      </c>
      <c r="B198" s="2">
        <v>65.084999999999994</v>
      </c>
      <c r="C198" s="2">
        <v>379.96300000000002</v>
      </c>
      <c r="D198" s="5">
        <f>+VLOOKUP(A198,Sheet6!A:D,4,0)</f>
        <v>0.19219653179190752</v>
      </c>
      <c r="E198" s="5">
        <f t="shared" si="3"/>
        <v>1.2509111271676299E-2</v>
      </c>
      <c r="F198" s="5" cm="1">
        <f t="array" ref="F198">_xlfn.IFS(
    AND(C198&gt;C$535,D198&lt;D$535),1,
    AND(C198&gt;C$535,D198&gt;D$535),2,
    AND(C198&lt;C$535,D198&lt;D$535),4,
    AND(C198&lt;C$535,D198&gt;D$535),3,
    TRUE,""
)</f>
        <v>1</v>
      </c>
      <c r="H198" s="5"/>
      <c r="I198" s="5"/>
    </row>
    <row r="199" spans="1:9" x14ac:dyDescent="0.35">
      <c r="A199" s="1" t="s">
        <v>305</v>
      </c>
      <c r="B199" s="2">
        <v>69.299000000000007</v>
      </c>
      <c r="C199" s="2">
        <v>254.476</v>
      </c>
      <c r="D199" s="5">
        <f>+VLOOKUP(A199,Sheet6!A:D,4,0)</f>
        <v>0.18159408381265407</v>
      </c>
      <c r="E199" s="5">
        <f t="shared" si="3"/>
        <v>1.2584288414133116E-2</v>
      </c>
      <c r="F199" s="5" cm="1">
        <f t="array" ref="F199">_xlfn.IFS(
    AND(C199&gt;C$535,D199&lt;D$535),1,
    AND(C199&gt;C$535,D199&gt;D$535),2,
    AND(C199&lt;C$535,D199&lt;D$535),4,
    AND(C199&lt;C$535,D199&gt;D$535),3,
    TRUE,""
)</f>
        <v>1</v>
      </c>
      <c r="H199" s="5"/>
      <c r="I199" s="5"/>
    </row>
    <row r="200" spans="1:9" x14ac:dyDescent="0.35">
      <c r="A200" s="1" t="s">
        <v>96</v>
      </c>
      <c r="B200" s="2">
        <v>10.087999999999999</v>
      </c>
      <c r="C200" s="2">
        <v>259.51600000000002</v>
      </c>
      <c r="D200" s="5">
        <f>+VLOOKUP(A200,Sheet6!A:D,4,0)</f>
        <v>0.2137404580152672</v>
      </c>
      <c r="E200" s="5">
        <f t="shared" si="3"/>
        <v>2.1562137404580154E-3</v>
      </c>
      <c r="F200" s="5" cm="1">
        <f t="array" ref="F200">_xlfn.IFS(
    AND(C200&gt;C$535,D200&lt;D$535),1,
    AND(C200&gt;C$535,D200&gt;D$535),2,
    AND(C200&lt;C$535,D200&lt;D$535),4,
    AND(C200&lt;C$535,D200&gt;D$535),3,
    TRUE,""
)</f>
        <v>1</v>
      </c>
      <c r="H200" s="5"/>
      <c r="I200" s="5"/>
    </row>
    <row r="201" spans="1:9" x14ac:dyDescent="0.35">
      <c r="A201" s="1" t="s">
        <v>95</v>
      </c>
      <c r="B201" s="2">
        <v>21.366</v>
      </c>
      <c r="C201" s="2">
        <v>202.328</v>
      </c>
      <c r="D201" s="5">
        <f>+VLOOKUP(A201,Sheet6!A:D,4,0)</f>
        <v>0.1371308016877637</v>
      </c>
      <c r="E201" s="5">
        <f t="shared" si="3"/>
        <v>2.9299367088607589E-3</v>
      </c>
      <c r="F201" s="5" cm="1">
        <f t="array" ref="F201">_xlfn.IFS(
    AND(C201&gt;C$535,D201&lt;D$535),1,
    AND(C201&gt;C$535,D201&gt;D$535),2,
    AND(C201&lt;C$535,D201&lt;D$535),4,
    AND(C201&lt;C$535,D201&gt;D$535),3,
    TRUE,""
)</f>
        <v>4</v>
      </c>
      <c r="H201" s="5"/>
      <c r="I201" s="5"/>
    </row>
    <row r="202" spans="1:9" x14ac:dyDescent="0.35">
      <c r="A202" s="1" t="s">
        <v>306</v>
      </c>
      <c r="B202" s="2">
        <v>6.5970000000000004</v>
      </c>
      <c r="C202" s="2">
        <v>144.46700000000001</v>
      </c>
      <c r="D202" s="5">
        <f>+VLOOKUP(A202,Sheet6!A:D,4,0)</f>
        <v>0.52534562211981561</v>
      </c>
      <c r="E202" s="5">
        <f t="shared" si="3"/>
        <v>3.465705069124424E-3</v>
      </c>
      <c r="F202" s="5" cm="1">
        <f t="array" ref="F202">_xlfn.IFS(
    AND(C202&gt;C$535,D202&lt;D$535),1,
    AND(C202&gt;C$535,D202&gt;D$535),2,
    AND(C202&lt;C$535,D202&lt;D$535),4,
    AND(C202&lt;C$535,D202&gt;D$535),3,
    TRUE,""
)</f>
        <v>3</v>
      </c>
      <c r="H202" s="5"/>
      <c r="I202" s="5"/>
    </row>
    <row r="203" spans="1:9" ht="29" x14ac:dyDescent="0.35">
      <c r="A203" s="1" t="s">
        <v>94</v>
      </c>
      <c r="B203" s="2">
        <v>22.634</v>
      </c>
      <c r="C203" s="2">
        <v>208.535</v>
      </c>
      <c r="D203" s="5">
        <f>+VLOOKUP(A203,Sheet6!A:D,4,0)</f>
        <v>0.22</v>
      </c>
      <c r="E203" s="5">
        <f t="shared" si="3"/>
        <v>4.9794799999999997E-3</v>
      </c>
      <c r="F203" s="5" cm="1">
        <f t="array" ref="F203">_xlfn.IFS(
    AND(C203&gt;C$535,D203&lt;D$535),1,
    AND(C203&gt;C$535,D203&gt;D$535),2,
    AND(C203&lt;C$535,D203&lt;D$535),4,
    AND(C203&lt;C$535,D203&gt;D$535),3,
    TRUE,""
)</f>
        <v>4</v>
      </c>
      <c r="H203" s="5"/>
      <c r="I203" s="5"/>
    </row>
    <row r="204" spans="1:9" ht="29" x14ac:dyDescent="0.35">
      <c r="A204" s="1" t="s">
        <v>307</v>
      </c>
      <c r="B204" s="1">
        <v>8.77E-3</v>
      </c>
      <c r="C204" s="2">
        <v>246.75200000000001</v>
      </c>
      <c r="D204" s="5">
        <f>+VLOOKUP(A204,Sheet6!A:D,4,0)</f>
        <v>0.41017964071856294</v>
      </c>
      <c r="E204" s="5">
        <f t="shared" si="3"/>
        <v>3.5972754491017969E-6</v>
      </c>
      <c r="F204" s="5" cm="1">
        <f t="array" ref="F204">_xlfn.IFS(
    AND(C204&gt;C$535,D204&lt;D$535),1,
    AND(C204&gt;C$535,D204&gt;D$535),2,
    AND(C204&lt;C$535,D204&lt;D$535),4,
    AND(C204&lt;C$535,D204&gt;D$535),3,
    TRUE,""
)</f>
        <v>2</v>
      </c>
      <c r="H204" s="5"/>
      <c r="I204" s="5"/>
    </row>
    <row r="205" spans="1:9" x14ac:dyDescent="0.35">
      <c r="A205" s="1" t="s">
        <v>93</v>
      </c>
      <c r="B205" s="2">
        <v>32.127000000000002</v>
      </c>
      <c r="C205" s="2">
        <v>281.50400000000002</v>
      </c>
      <c r="D205" s="5">
        <f>+VLOOKUP(A205,Sheet6!A:D,4,0)</f>
        <v>0.3282571912013536</v>
      </c>
      <c r="E205" s="5">
        <f t="shared" si="3"/>
        <v>1.0545918781725888E-2</v>
      </c>
      <c r="F205" s="5" cm="1">
        <f t="array" ref="F205">_xlfn.IFS(
    AND(C205&gt;C$535,D205&lt;D$535),1,
    AND(C205&gt;C$535,D205&gt;D$535),2,
    AND(C205&lt;C$535,D205&lt;D$535),4,
    AND(C205&lt;C$535,D205&gt;D$535),3,
    TRUE,""
)</f>
        <v>2</v>
      </c>
      <c r="H205" s="5"/>
      <c r="I205" s="5"/>
    </row>
    <row r="206" spans="1:9" x14ac:dyDescent="0.35">
      <c r="A206" s="1" t="s">
        <v>92</v>
      </c>
      <c r="B206" s="2">
        <v>21.271000000000001</v>
      </c>
      <c r="C206" s="2">
        <v>289.50200000000001</v>
      </c>
      <c r="D206" s="5">
        <f>+VLOOKUP(A206,Sheet6!A:D,4,0)</f>
        <v>0.19327731092436976</v>
      </c>
      <c r="E206" s="5">
        <f t="shared" si="3"/>
        <v>4.1112016806722695E-3</v>
      </c>
      <c r="F206" s="5" cm="1">
        <f t="array" ref="F206">_xlfn.IFS(
    AND(C206&gt;C$535,D206&lt;D$535),1,
    AND(C206&gt;C$535,D206&gt;D$535),2,
    AND(C206&lt;C$535,D206&lt;D$535),4,
    AND(C206&lt;C$535,D206&gt;D$535),3,
    TRUE,""
)</f>
        <v>1</v>
      </c>
      <c r="H206" s="5"/>
      <c r="I206" s="5"/>
    </row>
    <row r="207" spans="1:9" x14ac:dyDescent="0.35">
      <c r="A207" s="1" t="s">
        <v>308</v>
      </c>
      <c r="B207" s="2">
        <v>69.582999999999998</v>
      </c>
      <c r="C207" s="2">
        <v>192.15899999999999</v>
      </c>
      <c r="D207" s="5">
        <f>+VLOOKUP(A207,Sheet6!A:D,4,0)</f>
        <v>0.18097281831187409</v>
      </c>
      <c r="E207" s="5">
        <f t="shared" si="3"/>
        <v>1.2592631616595134E-2</v>
      </c>
      <c r="F207" s="5" cm="1">
        <f t="array" ref="F207">_xlfn.IFS(
    AND(C207&gt;C$535,D207&lt;D$535),1,
    AND(C207&gt;C$535,D207&gt;D$535),2,
    AND(C207&lt;C$535,D207&lt;D$535),4,
    AND(C207&lt;C$535,D207&gt;D$535),3,
    TRUE,""
)</f>
        <v>4</v>
      </c>
      <c r="H207" s="5"/>
      <c r="I207" s="5"/>
    </row>
    <row r="208" spans="1:9" x14ac:dyDescent="0.35">
      <c r="A208" s="1" t="s">
        <v>91</v>
      </c>
      <c r="B208" s="2">
        <v>10.957000000000001</v>
      </c>
      <c r="C208" s="2">
        <v>335.95800000000003</v>
      </c>
      <c r="D208" s="5">
        <f>+VLOOKUP(A208,Sheet6!A:D,4,0)</f>
        <v>0.20535714285714285</v>
      </c>
      <c r="E208" s="5">
        <f t="shared" si="3"/>
        <v>2.2500982142857145E-3</v>
      </c>
      <c r="F208" s="5" cm="1">
        <f t="array" ref="F208">_xlfn.IFS(
    AND(C208&gt;C$535,D208&lt;D$535),1,
    AND(C208&gt;C$535,D208&gt;D$535),2,
    AND(C208&lt;C$535,D208&lt;D$535),4,
    AND(C208&lt;C$535,D208&gt;D$535),3,
    TRUE,""
)</f>
        <v>1</v>
      </c>
      <c r="H208" s="5"/>
      <c r="I208" s="5"/>
    </row>
    <row r="209" spans="1:9" x14ac:dyDescent="0.35">
      <c r="A209" s="1" t="s">
        <v>309</v>
      </c>
      <c r="B209" s="2">
        <v>9.2789999999999999</v>
      </c>
      <c r="C209" s="2">
        <v>280.31599999999997</v>
      </c>
      <c r="D209" s="5">
        <f>+VLOOKUP(A209,Sheet6!A:D,4,0)</f>
        <v>0.36507936507936506</v>
      </c>
      <c r="E209" s="5">
        <f t="shared" si="3"/>
        <v>3.3875714285714286E-3</v>
      </c>
      <c r="F209" s="5" cm="1">
        <f t="array" ref="F209">_xlfn.IFS(
    AND(C209&gt;C$535,D209&lt;D$535),1,
    AND(C209&gt;C$535,D209&gt;D$535),2,
    AND(C209&lt;C$535,D209&lt;D$535),4,
    AND(C209&lt;C$535,D209&gt;D$535),3,
    TRUE,""
)</f>
        <v>2</v>
      </c>
      <c r="H209" s="5"/>
      <c r="I209" s="5"/>
    </row>
    <row r="210" spans="1:9" x14ac:dyDescent="0.35">
      <c r="A210" s="1" t="s">
        <v>310</v>
      </c>
      <c r="B210" s="2">
        <v>68.286000000000001</v>
      </c>
      <c r="C210" s="2">
        <v>238.55600000000001</v>
      </c>
      <c r="D210" s="5">
        <f>+VLOOKUP(A210,Sheet6!A:D,4,0)</f>
        <v>0.10605187319884726</v>
      </c>
      <c r="E210" s="5">
        <f t="shared" si="3"/>
        <v>7.241858213256484E-3</v>
      </c>
      <c r="F210" s="5" cm="1">
        <f t="array" ref="F210">_xlfn.IFS(
    AND(C210&gt;C$535,D210&lt;D$535),1,
    AND(C210&gt;C$535,D210&gt;D$535),2,
    AND(C210&lt;C$535,D210&lt;D$535),4,
    AND(C210&lt;C$535,D210&gt;D$535),3,
    TRUE,""
)</f>
        <v>1</v>
      </c>
      <c r="H210" s="5"/>
      <c r="I210" s="5"/>
    </row>
    <row r="211" spans="1:9" x14ac:dyDescent="0.35">
      <c r="A211" s="1" t="s">
        <v>311</v>
      </c>
      <c r="B211" s="2">
        <v>48.960999999999999</v>
      </c>
      <c r="C211" s="1">
        <v>0.30501999999999996</v>
      </c>
      <c r="D211" s="5">
        <f>+VLOOKUP(A211,Sheet6!A:D,4,0)</f>
        <v>0.33204633204633205</v>
      </c>
      <c r="E211" s="5">
        <f t="shared" si="3"/>
        <v>1.6257320463320464E-2</v>
      </c>
      <c r="F211" s="5" cm="1">
        <f t="array" ref="F211">_xlfn.IFS(
    AND(C211&gt;C$535,D211&lt;D$535),1,
    AND(C211&gt;C$535,D211&gt;D$535),2,
    AND(C211&lt;C$535,D211&lt;D$535),4,
    AND(C211&lt;C$535,D211&gt;D$535),3,
    TRUE,""
)</f>
        <v>3</v>
      </c>
      <c r="H211" s="5"/>
      <c r="I211" s="5"/>
    </row>
    <row r="212" spans="1:9" x14ac:dyDescent="0.35">
      <c r="A212" s="1" t="s">
        <v>312</v>
      </c>
      <c r="B212" s="2">
        <v>24.210999999999999</v>
      </c>
      <c r="C212" s="2">
        <v>411.46199999999999</v>
      </c>
      <c r="D212" s="5">
        <f>+VLOOKUP(A212,Sheet6!A:D,4,0)</f>
        <v>0.28537170263788969</v>
      </c>
      <c r="E212" s="5">
        <f t="shared" si="3"/>
        <v>6.9091342925659462E-3</v>
      </c>
      <c r="F212" s="5" cm="1">
        <f t="array" ref="F212">_xlfn.IFS(
    AND(C212&gt;C$535,D212&lt;D$535),1,
    AND(C212&gt;C$535,D212&gt;D$535),2,
    AND(C212&lt;C$535,D212&lt;D$535),4,
    AND(C212&lt;C$535,D212&gt;D$535),3,
    TRUE,""
)</f>
        <v>2</v>
      </c>
      <c r="H212" s="5"/>
      <c r="I212" s="5"/>
    </row>
    <row r="213" spans="1:9" ht="29" x14ac:dyDescent="0.35">
      <c r="A213" s="1" t="s">
        <v>313</v>
      </c>
      <c r="B213" s="2">
        <v>45.185000000000002</v>
      </c>
      <c r="C213" s="2">
        <v>215.381</v>
      </c>
      <c r="D213" s="5">
        <f>+VLOOKUP(A213,Sheet6!A:D,4,0)</f>
        <v>0.33423913043478265</v>
      </c>
      <c r="E213" s="5">
        <f t="shared" si="3"/>
        <v>1.5102595108695655E-2</v>
      </c>
      <c r="F213" s="5" cm="1">
        <f t="array" ref="F213">_xlfn.IFS(
    AND(C213&gt;C$535,D213&lt;D$535),1,
    AND(C213&gt;C$535,D213&gt;D$535),2,
    AND(C213&lt;C$535,D213&lt;D$535),4,
    AND(C213&lt;C$535,D213&gt;D$535),3,
    TRUE,""
)</f>
        <v>3</v>
      </c>
      <c r="H213" s="5"/>
      <c r="I213" s="5"/>
    </row>
    <row r="214" spans="1:9" x14ac:dyDescent="0.35">
      <c r="A214" s="1" t="s">
        <v>314</v>
      </c>
      <c r="B214" s="2">
        <v>25.062999999999999</v>
      </c>
      <c r="C214" s="2">
        <v>223.19800000000001</v>
      </c>
      <c r="D214" s="5">
        <f>+VLOOKUP(A214,Sheet6!A:D,4,0)</f>
        <v>0.14382022471910111</v>
      </c>
      <c r="E214" s="5">
        <f t="shared" si="3"/>
        <v>3.6045662921348307E-3</v>
      </c>
      <c r="F214" s="5" cm="1">
        <f t="array" ref="F214">_xlfn.IFS(
    AND(C214&gt;C$535,D214&lt;D$535),1,
    AND(C214&gt;C$535,D214&gt;D$535),2,
    AND(C214&lt;C$535,D214&lt;D$535),4,
    AND(C214&lt;C$535,D214&gt;D$535),3,
    TRUE,""
)</f>
        <v>4</v>
      </c>
      <c r="H214" s="5"/>
      <c r="I214" s="5"/>
    </row>
    <row r="215" spans="1:9" x14ac:dyDescent="0.35">
      <c r="A215" s="1" t="s">
        <v>90</v>
      </c>
      <c r="B215" s="2">
        <v>10.196</v>
      </c>
      <c r="C215" s="2">
        <v>272.15499999999997</v>
      </c>
      <c r="D215" s="5">
        <f>+VLOOKUP(A215,Sheet6!A:D,4,0)</f>
        <v>0.18</v>
      </c>
      <c r="E215" s="5">
        <f t="shared" si="3"/>
        <v>1.8352799999999999E-3</v>
      </c>
      <c r="F215" s="5" cm="1">
        <f t="array" ref="F215">_xlfn.IFS(
    AND(C215&gt;C$535,D215&lt;D$535),1,
    AND(C215&gt;C$535,D215&gt;D$535),2,
    AND(C215&lt;C$535,D215&lt;D$535),4,
    AND(C215&lt;C$535,D215&gt;D$535),3,
    TRUE,""
)</f>
        <v>1</v>
      </c>
      <c r="H215" s="5"/>
      <c r="I215" s="5"/>
    </row>
    <row r="216" spans="1:9" x14ac:dyDescent="0.35">
      <c r="A216" s="1" t="s">
        <v>315</v>
      </c>
      <c r="B216" s="2">
        <v>56.698</v>
      </c>
      <c r="C216" s="2">
        <v>185.56200000000001</v>
      </c>
      <c r="D216" s="5">
        <f>+VLOOKUP(A216,Sheet6!A:D,4,0)</f>
        <v>0.33231240428790199</v>
      </c>
      <c r="E216" s="5">
        <f t="shared" si="3"/>
        <v>1.8841448698315468E-2</v>
      </c>
      <c r="F216" s="5" cm="1">
        <f t="array" ref="F216">_xlfn.IFS(
    AND(C216&gt;C$535,D216&lt;D$535),1,
    AND(C216&gt;C$535,D216&gt;D$535),2,
    AND(C216&lt;C$535,D216&lt;D$535),4,
    AND(C216&lt;C$535,D216&gt;D$535),3,
    TRUE,""
)</f>
        <v>3</v>
      </c>
      <c r="H216" s="5"/>
      <c r="I216" s="5"/>
    </row>
    <row r="217" spans="1:9" x14ac:dyDescent="0.35">
      <c r="A217" s="1" t="s">
        <v>89</v>
      </c>
      <c r="B217" s="1">
        <v>9.8000000000000014E-3</v>
      </c>
      <c r="C217" s="2">
        <v>243.363</v>
      </c>
      <c r="D217" s="5">
        <f>+VLOOKUP(A217,Sheet6!A:D,4,0)</f>
        <v>0.44019138755980869</v>
      </c>
      <c r="E217" s="5">
        <f t="shared" si="3"/>
        <v>4.3138755980861256E-6</v>
      </c>
      <c r="F217" s="5" cm="1">
        <f t="array" ref="F217">_xlfn.IFS(
    AND(C217&gt;C$535,D217&lt;D$535),1,
    AND(C217&gt;C$535,D217&gt;D$535),2,
    AND(C217&lt;C$535,D217&lt;D$535),4,
    AND(C217&lt;C$535,D217&gt;D$535),3,
    TRUE,""
)</f>
        <v>2</v>
      </c>
      <c r="H217" s="5"/>
      <c r="I217" s="5"/>
    </row>
    <row r="218" spans="1:9" x14ac:dyDescent="0.35">
      <c r="A218" s="1" t="s">
        <v>88</v>
      </c>
      <c r="B218" s="2">
        <v>23.675000000000001</v>
      </c>
      <c r="C218" s="2">
        <v>242.15700000000001</v>
      </c>
      <c r="D218" s="5">
        <f>+VLOOKUP(A218,Sheet6!A:D,4,0)</f>
        <v>0.37298387096774194</v>
      </c>
      <c r="E218" s="5">
        <f t="shared" si="3"/>
        <v>8.8303931451612899E-3</v>
      </c>
      <c r="F218" s="5" cm="1">
        <f t="array" ref="F218">_xlfn.IFS(
    AND(C218&gt;C$535,D218&lt;D$535),1,
    AND(C218&gt;C$535,D218&gt;D$535),2,
    AND(C218&lt;C$535,D218&lt;D$535),4,
    AND(C218&lt;C$535,D218&gt;D$535),3,
    TRUE,""
)</f>
        <v>2</v>
      </c>
      <c r="H218" s="5"/>
      <c r="I218" s="5"/>
    </row>
    <row r="219" spans="1:9" x14ac:dyDescent="0.35">
      <c r="A219" s="1" t="s">
        <v>87</v>
      </c>
      <c r="B219" s="2">
        <v>18.754999999999999</v>
      </c>
      <c r="C219" s="2">
        <v>301.08600000000001</v>
      </c>
      <c r="D219" s="5">
        <f>+VLOOKUP(A219,Sheet6!A:D,4,0)</f>
        <v>0.22406639004149378</v>
      </c>
      <c r="E219" s="5">
        <f t="shared" si="3"/>
        <v>4.2023651452282153E-3</v>
      </c>
      <c r="F219" s="5" cm="1">
        <f t="array" ref="F219">_xlfn.IFS(
    AND(C219&gt;C$535,D219&lt;D$535),1,
    AND(C219&gt;C$535,D219&gt;D$535),2,
    AND(C219&lt;C$535,D219&lt;D$535),4,
    AND(C219&lt;C$535,D219&gt;D$535),3,
    TRUE,""
)</f>
        <v>1</v>
      </c>
      <c r="H219" s="5"/>
      <c r="I219" s="5"/>
    </row>
    <row r="220" spans="1:9" x14ac:dyDescent="0.35">
      <c r="A220" s="1" t="s">
        <v>316</v>
      </c>
      <c r="B220" s="2">
        <v>56.661000000000001</v>
      </c>
      <c r="C220" s="2">
        <v>206.155</v>
      </c>
      <c r="D220" s="5">
        <f>+VLOOKUP(A220,Sheet6!A:D,4,0)</f>
        <v>0.13033359193173003</v>
      </c>
      <c r="E220" s="5">
        <f t="shared" si="3"/>
        <v>7.384831652443755E-3</v>
      </c>
      <c r="F220" s="5" cm="1">
        <f t="array" ref="F220">_xlfn.IFS(
    AND(C220&gt;C$535,D220&lt;D$535),1,
    AND(C220&gt;C$535,D220&gt;D$535),2,
    AND(C220&lt;C$535,D220&lt;D$535),4,
    AND(C220&lt;C$535,D220&gt;D$535),3,
    TRUE,""
)</f>
        <v>4</v>
      </c>
      <c r="H220" s="5"/>
      <c r="I220" s="5"/>
    </row>
    <row r="221" spans="1:9" x14ac:dyDescent="0.35">
      <c r="A221" s="1" t="s">
        <v>317</v>
      </c>
      <c r="B221" s="2">
        <v>66.721999999999994</v>
      </c>
      <c r="C221" s="2">
        <v>267.108</v>
      </c>
      <c r="D221" s="5">
        <f>+VLOOKUP(A221,Sheet6!A:D,4,0)</f>
        <v>0.20936639118457301</v>
      </c>
      <c r="E221" s="5">
        <f t="shared" si="3"/>
        <v>1.3969344352617078E-2</v>
      </c>
      <c r="F221" s="5" cm="1">
        <f t="array" ref="F221">_xlfn.IFS(
    AND(C221&gt;C$535,D221&lt;D$535),1,
    AND(C221&gt;C$535,D221&gt;D$535),2,
    AND(C221&lt;C$535,D221&lt;D$535),4,
    AND(C221&lt;C$535,D221&gt;D$535),3,
    TRUE,""
)</f>
        <v>1</v>
      </c>
      <c r="H221" s="5"/>
      <c r="I221" s="5"/>
    </row>
    <row r="222" spans="1:9" x14ac:dyDescent="0.35">
      <c r="A222" s="1" t="s">
        <v>86</v>
      </c>
      <c r="B222" s="2">
        <v>12.781000000000001</v>
      </c>
      <c r="C222" s="2">
        <v>366.62900000000002</v>
      </c>
      <c r="D222" s="5">
        <f>+VLOOKUP(A222,Sheet6!A:D,4,0)</f>
        <v>0.23308270676691728</v>
      </c>
      <c r="E222" s="5">
        <f t="shared" si="3"/>
        <v>2.9790300751879701E-3</v>
      </c>
      <c r="F222" s="5" cm="1">
        <f t="array" ref="F222">_xlfn.IFS(
    AND(C222&gt;C$535,D222&lt;D$535),1,
    AND(C222&gt;C$535,D222&gt;D$535),2,
    AND(C222&lt;C$535,D222&lt;D$535),4,
    AND(C222&lt;C$535,D222&gt;D$535),3,
    TRUE,""
)</f>
        <v>1</v>
      </c>
      <c r="H222" s="5"/>
      <c r="I222" s="5"/>
    </row>
    <row r="223" spans="1:9" x14ac:dyDescent="0.35">
      <c r="A223" s="1" t="s">
        <v>318</v>
      </c>
      <c r="B223" s="2">
        <v>23.422999999999998</v>
      </c>
      <c r="C223" s="2">
        <v>282.84300000000002</v>
      </c>
      <c r="D223" s="5">
        <f>+VLOOKUP(A223,Sheet6!A:D,4,0)</f>
        <v>0.38986784140969161</v>
      </c>
      <c r="E223" s="5">
        <f t="shared" si="3"/>
        <v>9.1318744493392064E-3</v>
      </c>
      <c r="F223" s="5" cm="1">
        <f t="array" ref="F223">_xlfn.IFS(
    AND(C223&gt;C$535,D223&lt;D$535),1,
    AND(C223&gt;C$535,D223&gt;D$535),2,
    AND(C223&lt;C$535,D223&lt;D$535),4,
    AND(C223&lt;C$535,D223&gt;D$535),3,
    TRUE,""
)</f>
        <v>2</v>
      </c>
      <c r="H223" s="5"/>
      <c r="I223" s="5"/>
    </row>
    <row r="224" spans="1:9" x14ac:dyDescent="0.35">
      <c r="A224" s="1" t="s">
        <v>319</v>
      </c>
      <c r="B224" s="2">
        <v>73.207999999999998</v>
      </c>
      <c r="C224" s="2">
        <v>247.40299999999999</v>
      </c>
      <c r="D224" s="5">
        <f>+VLOOKUP(A224,Sheet6!A:D,4,0)</f>
        <v>0.19522326064382137</v>
      </c>
      <c r="E224" s="5">
        <f t="shared" si="3"/>
        <v>1.4291904465212875E-2</v>
      </c>
      <c r="F224" s="5" cm="1">
        <f t="array" ref="F224">_xlfn.IFS(
    AND(C224&gt;C$535,D224&lt;D$535),1,
    AND(C224&gt;C$535,D224&gt;D$535),2,
    AND(C224&lt;C$535,D224&lt;D$535),4,
    AND(C224&lt;C$535,D224&gt;D$535),3,
    TRUE,""
)</f>
        <v>1</v>
      </c>
      <c r="H224" s="5"/>
      <c r="I224" s="5"/>
    </row>
    <row r="225" spans="1:9" ht="29" x14ac:dyDescent="0.35">
      <c r="A225" s="1" t="s">
        <v>320</v>
      </c>
      <c r="B225" s="2">
        <v>14.629</v>
      </c>
      <c r="C225" s="1">
        <v>0.25948000000000004</v>
      </c>
      <c r="D225" s="5">
        <f>+VLOOKUP(A225,Sheet6!A:D,4,0)</f>
        <v>0.41242937853107342</v>
      </c>
      <c r="E225" s="5">
        <f t="shared" si="3"/>
        <v>6.0334293785310727E-3</v>
      </c>
      <c r="F225" s="5" cm="1">
        <f t="array" ref="F225">_xlfn.IFS(
    AND(C225&gt;C$535,D225&lt;D$535),1,
    AND(C225&gt;C$535,D225&gt;D$535),2,
    AND(C225&lt;C$535,D225&lt;D$535),4,
    AND(C225&lt;C$535,D225&gt;D$535),3,
    TRUE,""
)</f>
        <v>3</v>
      </c>
      <c r="H225" s="5"/>
      <c r="I225" s="5"/>
    </row>
    <row r="226" spans="1:9" x14ac:dyDescent="0.35">
      <c r="A226" s="1" t="s">
        <v>321</v>
      </c>
      <c r="B226" s="2">
        <v>60.847999999999999</v>
      </c>
      <c r="C226" s="2">
        <v>259.77699999999999</v>
      </c>
      <c r="D226" s="5">
        <f>+VLOOKUP(A226,Sheet6!A:D,4,0)</f>
        <v>0.31253678634490878</v>
      </c>
      <c r="E226" s="5">
        <f t="shared" si="3"/>
        <v>1.901723837551501E-2</v>
      </c>
      <c r="F226" s="5" cm="1">
        <f t="array" ref="F226">_xlfn.IFS(
    AND(C226&gt;C$535,D226&lt;D$535),1,
    AND(C226&gt;C$535,D226&gt;D$535),2,
    AND(C226&lt;C$535,D226&lt;D$535),4,
    AND(C226&lt;C$535,D226&gt;D$535),3,
    TRUE,""
)</f>
        <v>2</v>
      </c>
      <c r="H226" s="5"/>
      <c r="I226" s="5"/>
    </row>
    <row r="227" spans="1:9" x14ac:dyDescent="0.35">
      <c r="A227" s="1" t="s">
        <v>322</v>
      </c>
      <c r="B227" s="2">
        <v>78.837999999999994</v>
      </c>
      <c r="C227" s="2">
        <v>247.495</v>
      </c>
      <c r="D227" s="5">
        <f>+VLOOKUP(A227,Sheet6!A:D,4,0)</f>
        <v>0.17334494773519163</v>
      </c>
      <c r="E227" s="5">
        <f t="shared" si="3"/>
        <v>1.3666168989547037E-2</v>
      </c>
      <c r="F227" s="5" cm="1">
        <f t="array" ref="F227">_xlfn.IFS(
    AND(C227&gt;C$535,D227&lt;D$535),1,
    AND(C227&gt;C$535,D227&gt;D$535),2,
    AND(C227&lt;C$535,D227&lt;D$535),4,
    AND(C227&lt;C$535,D227&gt;D$535),3,
    TRUE,""
)</f>
        <v>1</v>
      </c>
      <c r="H227" s="5"/>
      <c r="I227" s="5"/>
    </row>
    <row r="228" spans="1:9" x14ac:dyDescent="0.35">
      <c r="A228" s="1" t="s">
        <v>323</v>
      </c>
      <c r="B228" s="2">
        <v>10.170999999999999</v>
      </c>
      <c r="C228" s="2">
        <v>187.893</v>
      </c>
      <c r="D228" s="5">
        <f>+VLOOKUP(A228,Sheet6!A:D,4,0)</f>
        <v>0.19642857142857145</v>
      </c>
      <c r="E228" s="5">
        <f t="shared" si="3"/>
        <v>1.9978750000000001E-3</v>
      </c>
      <c r="F228" s="5" cm="1">
        <f t="array" ref="F228">_xlfn.IFS(
    AND(C228&gt;C$535,D228&lt;D$535),1,
    AND(C228&gt;C$535,D228&gt;D$535),2,
    AND(C228&lt;C$535,D228&lt;D$535),4,
    AND(C228&lt;C$535,D228&gt;D$535),3,
    TRUE,""
)</f>
        <v>4</v>
      </c>
      <c r="H228" s="5"/>
      <c r="I228" s="5"/>
    </row>
    <row r="229" spans="1:9" x14ac:dyDescent="0.35">
      <c r="A229" s="1" t="s">
        <v>85</v>
      </c>
      <c r="B229" s="2">
        <v>7.8490000000000002</v>
      </c>
      <c r="C229" s="2">
        <v>214.167</v>
      </c>
      <c r="D229" s="5">
        <f>+VLOOKUP(A229,Sheet6!A:D,4,0)</f>
        <v>0.26642335766423353</v>
      </c>
      <c r="E229" s="5">
        <f t="shared" si="3"/>
        <v>2.0911569343065694E-3</v>
      </c>
      <c r="F229" s="5" cm="1">
        <f t="array" ref="F229">_xlfn.IFS(
    AND(C229&gt;C$535,D229&lt;D$535),1,
    AND(C229&gt;C$535,D229&gt;D$535),2,
    AND(C229&lt;C$535,D229&lt;D$535),4,
    AND(C229&lt;C$535,D229&gt;D$535),3,
    TRUE,""
)</f>
        <v>3</v>
      </c>
      <c r="H229" s="5"/>
      <c r="I229" s="5"/>
    </row>
    <row r="230" spans="1:9" x14ac:dyDescent="0.35">
      <c r="A230" s="1" t="s">
        <v>324</v>
      </c>
      <c r="B230" s="2">
        <v>42.284999999999997</v>
      </c>
      <c r="C230" s="2">
        <v>330.47500000000002</v>
      </c>
      <c r="D230" s="5">
        <f>+VLOOKUP(A230,Sheet6!A:D,4,0)</f>
        <v>8.538163001293661E-2</v>
      </c>
      <c r="E230" s="5">
        <f t="shared" si="3"/>
        <v>3.6103622250970246E-3</v>
      </c>
      <c r="F230" s="5" cm="1">
        <f t="array" ref="F230">_xlfn.IFS(
    AND(C230&gt;C$535,D230&lt;D$535),1,
    AND(C230&gt;C$535,D230&gt;D$535),2,
    AND(C230&lt;C$535,D230&lt;D$535),4,
    AND(C230&lt;C$535,D230&gt;D$535),3,
    TRUE,""
)</f>
        <v>1</v>
      </c>
      <c r="H230" s="5"/>
      <c r="I230" s="5"/>
    </row>
    <row r="231" spans="1:9" x14ac:dyDescent="0.35">
      <c r="A231" s="1" t="s">
        <v>325</v>
      </c>
      <c r="B231" s="2">
        <v>9.1989999999999998</v>
      </c>
      <c r="C231" s="2">
        <v>171.75700000000001</v>
      </c>
      <c r="D231" s="5">
        <f>+VLOOKUP(A231,Sheet6!A:D,4,0)</f>
        <v>0.24</v>
      </c>
      <c r="E231" s="5">
        <f t="shared" si="3"/>
        <v>2.20776E-3</v>
      </c>
      <c r="F231" s="5" cm="1">
        <f t="array" ref="F231">_xlfn.IFS(
    AND(C231&gt;C$535,D231&lt;D$535),1,
    AND(C231&gt;C$535,D231&gt;D$535),2,
    AND(C231&lt;C$535,D231&lt;D$535),4,
    AND(C231&lt;C$535,D231&gt;D$535),3,
    TRUE,""
)</f>
        <v>4</v>
      </c>
      <c r="H231" s="5"/>
      <c r="I231" s="5"/>
    </row>
    <row r="232" spans="1:9" x14ac:dyDescent="0.35">
      <c r="A232" s="1" t="s">
        <v>326</v>
      </c>
      <c r="B232" s="2">
        <v>6.6429999999999998</v>
      </c>
      <c r="C232" s="2">
        <v>238.88300000000001</v>
      </c>
      <c r="D232" s="5">
        <f>+VLOOKUP(A232,Sheet6!A:D,4,0)</f>
        <v>8.6363636363636351E-2</v>
      </c>
      <c r="E232" s="5">
        <f t="shared" si="3"/>
        <v>5.7371363636363627E-4</v>
      </c>
      <c r="F232" s="5" cm="1">
        <f t="array" ref="F232">_xlfn.IFS(
    AND(C232&gt;C$535,D232&lt;D$535),1,
    AND(C232&gt;C$535,D232&gt;D$535),2,
    AND(C232&lt;C$535,D232&lt;D$535),4,
    AND(C232&lt;C$535,D232&gt;D$535),3,
    TRUE,""
)</f>
        <v>1</v>
      </c>
      <c r="H232" s="5"/>
      <c r="I232" s="5"/>
    </row>
    <row r="233" spans="1:9" x14ac:dyDescent="0.35">
      <c r="A233" s="1" t="s">
        <v>327</v>
      </c>
      <c r="B233" s="2">
        <v>80.263000000000005</v>
      </c>
      <c r="C233" s="1">
        <v>0.26589999999999997</v>
      </c>
      <c r="D233" s="5">
        <f>+VLOOKUP(A233,Sheet6!A:D,4,0)</f>
        <v>0.15361890694239291</v>
      </c>
      <c r="E233" s="5">
        <f t="shared" si="3"/>
        <v>1.2329914327917283E-2</v>
      </c>
      <c r="F233" s="5" cm="1">
        <f t="array" ref="F233">_xlfn.IFS(
    AND(C233&gt;C$535,D233&lt;D$535),1,
    AND(C233&gt;C$535,D233&gt;D$535),2,
    AND(C233&lt;C$535,D233&lt;D$535),4,
    AND(C233&lt;C$535,D233&gt;D$535),3,
    TRUE,""
)</f>
        <v>4</v>
      </c>
      <c r="H233" s="5"/>
      <c r="I233" s="5"/>
    </row>
    <row r="234" spans="1:9" x14ac:dyDescent="0.35">
      <c r="A234" s="1" t="s">
        <v>84</v>
      </c>
      <c r="B234" s="2">
        <v>9.6059999999999999</v>
      </c>
      <c r="C234" s="2">
        <v>232.553</v>
      </c>
      <c r="D234" s="5">
        <f>+VLOOKUP(A234,Sheet6!A:D,4,0)</f>
        <v>0.2076502732240437</v>
      </c>
      <c r="E234" s="5">
        <f t="shared" si="3"/>
        <v>1.9946885245901639E-3</v>
      </c>
      <c r="F234" s="5" cm="1">
        <f t="array" ref="F234">_xlfn.IFS(
    AND(C234&gt;C$535,D234&lt;D$535),1,
    AND(C234&gt;C$535,D234&gt;D$535),2,
    AND(C234&lt;C$535,D234&lt;D$535),4,
    AND(C234&lt;C$535,D234&gt;D$535),3,
    TRUE,""
)</f>
        <v>4</v>
      </c>
      <c r="H234" s="5"/>
      <c r="I234" s="5"/>
    </row>
    <row r="235" spans="1:9" x14ac:dyDescent="0.35">
      <c r="A235" s="1" t="s">
        <v>83</v>
      </c>
      <c r="B235" s="2">
        <v>39.148000000000003</v>
      </c>
      <c r="C235" s="2">
        <v>282.59100000000001</v>
      </c>
      <c r="D235" s="5">
        <f>+VLOOKUP(A235,Sheet6!A:D,4,0)</f>
        <v>0.28154425612052736</v>
      </c>
      <c r="E235" s="5">
        <f t="shared" si="3"/>
        <v>1.1021894538606405E-2</v>
      </c>
      <c r="F235" s="5" cm="1">
        <f t="array" ref="F235">_xlfn.IFS(
    AND(C235&gt;C$535,D235&lt;D$535),1,
    AND(C235&gt;C$535,D235&gt;D$535),2,
    AND(C235&lt;C$535,D235&lt;D$535),4,
    AND(C235&lt;C$535,D235&gt;D$535),3,
    TRUE,""
)</f>
        <v>2</v>
      </c>
      <c r="H235" s="5"/>
      <c r="I235" s="5"/>
    </row>
    <row r="236" spans="1:9" x14ac:dyDescent="0.35">
      <c r="A236" s="1" t="s">
        <v>328</v>
      </c>
      <c r="B236" s="2">
        <v>69.501999999999995</v>
      </c>
      <c r="C236" s="2">
        <v>189.93799999999999</v>
      </c>
      <c r="D236" s="5">
        <f>+VLOOKUP(A236,Sheet6!A:D,4,0)</f>
        <v>0.27296587926509186</v>
      </c>
      <c r="E236" s="5">
        <f t="shared" si="3"/>
        <v>1.8971674540682413E-2</v>
      </c>
      <c r="F236" s="5" cm="1">
        <f t="array" ref="F236">_xlfn.IFS(
    AND(C236&gt;C$535,D236&lt;D$535),1,
    AND(C236&gt;C$535,D236&gt;D$535),2,
    AND(C236&lt;C$535,D236&lt;D$535),4,
    AND(C236&lt;C$535,D236&gt;D$535),3,
    TRUE,""
)</f>
        <v>3</v>
      </c>
      <c r="H236" s="5"/>
      <c r="I236" s="5"/>
    </row>
    <row r="237" spans="1:9" x14ac:dyDescent="0.35">
      <c r="A237" s="1" t="s">
        <v>329</v>
      </c>
      <c r="B237" s="2">
        <v>28.064</v>
      </c>
      <c r="C237" s="2">
        <v>263.46499999999997</v>
      </c>
      <c r="D237" s="5">
        <f>+VLOOKUP(A237,Sheet6!A:D,4,0)</f>
        <v>0.40310077519379844</v>
      </c>
      <c r="E237" s="5">
        <f t="shared" si="3"/>
        <v>1.131262015503876E-2</v>
      </c>
      <c r="F237" s="5" cm="1">
        <f t="array" ref="F237">_xlfn.IFS(
    AND(C237&gt;C$535,D237&lt;D$535),1,
    AND(C237&gt;C$535,D237&gt;D$535),2,
    AND(C237&lt;C$535,D237&lt;D$535),4,
    AND(C237&lt;C$535,D237&gt;D$535),3,
    TRUE,""
)</f>
        <v>2</v>
      </c>
      <c r="H237" s="5"/>
      <c r="I237" s="5"/>
    </row>
    <row r="238" spans="1:9" x14ac:dyDescent="0.35">
      <c r="A238" s="1" t="s">
        <v>330</v>
      </c>
      <c r="B238" s="2">
        <v>7.1950000000000003</v>
      </c>
      <c r="C238" s="2">
        <v>186.23500000000001</v>
      </c>
      <c r="D238" s="5">
        <f>+VLOOKUP(A238,Sheet6!A:D,4,0)</f>
        <v>0.30573248407643311</v>
      </c>
      <c r="E238" s="5">
        <f t="shared" si="3"/>
        <v>2.1997452229299361E-3</v>
      </c>
      <c r="F238" s="5" cm="1">
        <f t="array" ref="F238">_xlfn.IFS(
    AND(C238&gt;C$535,D238&lt;D$535),1,
    AND(C238&gt;C$535,D238&gt;D$535),2,
    AND(C238&lt;C$535,D238&lt;D$535),4,
    AND(C238&lt;C$535,D238&gt;D$535),3,
    TRUE,""
)</f>
        <v>3</v>
      </c>
      <c r="H238" s="5"/>
      <c r="I238" s="5"/>
    </row>
    <row r="239" spans="1:9" x14ac:dyDescent="0.35">
      <c r="A239" s="1" t="s">
        <v>331</v>
      </c>
      <c r="B239" s="2">
        <v>6.9909999999999997</v>
      </c>
      <c r="C239" s="2">
        <v>267.21800000000002</v>
      </c>
      <c r="D239" s="5">
        <f>+VLOOKUP(A239,Sheet6!A:D,4,0)</f>
        <v>0.20000000000000004</v>
      </c>
      <c r="E239" s="5">
        <f t="shared" si="3"/>
        <v>1.3982000000000001E-3</v>
      </c>
      <c r="F239" s="5" cm="1">
        <f t="array" ref="F239">_xlfn.IFS(
    AND(C239&gt;C$535,D239&lt;D$535),1,
    AND(C239&gt;C$535,D239&gt;D$535),2,
    AND(C239&lt;C$535,D239&lt;D$535),4,
    AND(C239&lt;C$535,D239&gt;D$535),3,
    TRUE,""
)</f>
        <v>1</v>
      </c>
      <c r="H239" s="5"/>
      <c r="I239" s="5"/>
    </row>
    <row r="240" spans="1:9" x14ac:dyDescent="0.35">
      <c r="A240" s="1" t="s">
        <v>332</v>
      </c>
      <c r="B240" s="2">
        <v>54.348999999999997</v>
      </c>
      <c r="C240" s="2">
        <v>257.26499999999999</v>
      </c>
      <c r="D240" s="5">
        <f>+VLOOKUP(A240,Sheet6!A:D,4,0)</f>
        <v>0.21047227926078027</v>
      </c>
      <c r="E240" s="5">
        <f t="shared" si="3"/>
        <v>1.1438957905544146E-2</v>
      </c>
      <c r="F240" s="5" cm="1">
        <f t="array" ref="F240">_xlfn.IFS(
    AND(C240&gt;C$535,D240&lt;D$535),1,
    AND(C240&gt;C$535,D240&gt;D$535),2,
    AND(C240&lt;C$535,D240&lt;D$535),4,
    AND(C240&lt;C$535,D240&gt;D$535),3,
    TRUE,""
)</f>
        <v>1</v>
      </c>
      <c r="H240" s="5"/>
      <c r="I240" s="5"/>
    </row>
    <row r="241" spans="1:9" x14ac:dyDescent="0.35">
      <c r="A241" s="1" t="s">
        <v>333</v>
      </c>
      <c r="B241" s="2">
        <v>22.285</v>
      </c>
      <c r="C241" s="2">
        <v>210.09399999999999</v>
      </c>
      <c r="D241" s="5">
        <f>+VLOOKUP(A241,Sheet6!A:D,4,0)</f>
        <v>0.25</v>
      </c>
      <c r="E241" s="5">
        <f t="shared" si="3"/>
        <v>5.5712499999999998E-3</v>
      </c>
      <c r="F241" s="5" cm="1">
        <f t="array" ref="F241">_xlfn.IFS(
    AND(C241&gt;C$535,D241&lt;D$535),1,
    AND(C241&gt;C$535,D241&gt;D$535),2,
    AND(C241&lt;C$535,D241&lt;D$535),4,
    AND(C241&lt;C$535,D241&gt;D$535),3,
    TRUE,""
)</f>
        <v>4</v>
      </c>
      <c r="H241" s="5"/>
      <c r="I241" s="5"/>
    </row>
    <row r="242" spans="1:9" x14ac:dyDescent="0.35">
      <c r="A242" s="1" t="s">
        <v>334</v>
      </c>
      <c r="B242" s="2">
        <v>44.454000000000001</v>
      </c>
      <c r="C242" s="2">
        <v>259.93200000000002</v>
      </c>
      <c r="D242" s="5">
        <f>+VLOOKUP(A242,Sheet6!A:D,4,0)</f>
        <v>0.27448979591836731</v>
      </c>
      <c r="E242" s="5">
        <f t="shared" si="3"/>
        <v>1.2202169387755101E-2</v>
      </c>
      <c r="F242" s="5" cm="1">
        <f t="array" ref="F242">_xlfn.IFS(
    AND(C242&gt;C$535,D242&lt;D$535),1,
    AND(C242&gt;C$535,D242&gt;D$535),2,
    AND(C242&lt;C$535,D242&lt;D$535),4,
    AND(C242&lt;C$535,D242&gt;D$535),3,
    TRUE,""
)</f>
        <v>2</v>
      </c>
      <c r="H242" s="5"/>
      <c r="I242" s="5"/>
    </row>
    <row r="243" spans="1:9" x14ac:dyDescent="0.35">
      <c r="A243" s="1" t="s">
        <v>82</v>
      </c>
      <c r="B243" s="2">
        <v>10.295999999999999</v>
      </c>
      <c r="C243" s="2">
        <v>263.79199999999997</v>
      </c>
      <c r="D243" s="5">
        <f>+VLOOKUP(A243,Sheet6!A:D,4,0)</f>
        <v>0.36986301369863017</v>
      </c>
      <c r="E243" s="5">
        <f t="shared" si="3"/>
        <v>3.8081095890410959E-3</v>
      </c>
      <c r="F243" s="5" cm="1">
        <f t="array" ref="F243">_xlfn.IFS(
    AND(C243&gt;C$535,D243&lt;D$535),1,
    AND(C243&gt;C$535,D243&gt;D$535),2,
    AND(C243&lt;C$535,D243&lt;D$535),4,
    AND(C243&lt;C$535,D243&gt;D$535),3,
    TRUE,""
)</f>
        <v>2</v>
      </c>
      <c r="H243" s="5"/>
      <c r="I243" s="5"/>
    </row>
    <row r="244" spans="1:9" x14ac:dyDescent="0.35">
      <c r="A244" s="1" t="s">
        <v>81</v>
      </c>
      <c r="B244" s="2">
        <v>4.758</v>
      </c>
      <c r="C244" s="2">
        <v>159.72900000000001</v>
      </c>
      <c r="D244" s="5">
        <f>+VLOOKUP(A244,Sheet6!A:D,4,0)</f>
        <v>0.20567375886524822</v>
      </c>
      <c r="E244" s="5">
        <f t="shared" si="3"/>
        <v>9.7859574468085091E-4</v>
      </c>
      <c r="F244" s="5" cm="1">
        <f t="array" ref="F244">_xlfn.IFS(
    AND(C244&gt;C$535,D244&lt;D$535),1,
    AND(C244&gt;C$535,D244&gt;D$535),2,
    AND(C244&lt;C$535,D244&lt;D$535),4,
    AND(C244&lt;C$535,D244&gt;D$535),3,
    TRUE,""
)</f>
        <v>4</v>
      </c>
      <c r="H244" s="5"/>
      <c r="I244" s="5"/>
    </row>
    <row r="245" spans="1:9" x14ac:dyDescent="0.35">
      <c r="A245" s="1" t="s">
        <v>80</v>
      </c>
      <c r="B245" s="2">
        <v>39.621000000000002</v>
      </c>
      <c r="C245" s="2">
        <v>273.923</v>
      </c>
      <c r="D245" s="5">
        <f>+VLOOKUP(A245,Sheet6!A:D,4,0)</f>
        <v>0.11995249406175772</v>
      </c>
      <c r="E245" s="5">
        <f t="shared" si="3"/>
        <v>4.7526377672209028E-3</v>
      </c>
      <c r="F245" s="5" cm="1">
        <f t="array" ref="F245">_xlfn.IFS(
    AND(C245&gt;C$535,D245&lt;D$535),1,
    AND(C245&gt;C$535,D245&gt;D$535),2,
    AND(C245&lt;C$535,D245&lt;D$535),4,
    AND(C245&lt;C$535,D245&gt;D$535),3,
    TRUE,""
)</f>
        <v>1</v>
      </c>
      <c r="H245" s="5"/>
      <c r="I245" s="5"/>
    </row>
    <row r="246" spans="1:9" x14ac:dyDescent="0.35">
      <c r="A246" s="1" t="s">
        <v>335</v>
      </c>
      <c r="B246" s="1">
        <v>4.6700000000000005E-2</v>
      </c>
      <c r="C246" s="2">
        <v>281.90300000000002</v>
      </c>
      <c r="D246" s="5">
        <f>+VLOOKUP(A246,Sheet6!A:D,4,0)</f>
        <v>0.26135216952573159</v>
      </c>
      <c r="E246" s="5">
        <f t="shared" si="3"/>
        <v>1.2205146316851666E-5</v>
      </c>
      <c r="F246" s="5" cm="1">
        <f t="array" ref="F246">_xlfn.IFS(
    AND(C246&gt;C$535,D246&lt;D$535),1,
    AND(C246&gt;C$535,D246&gt;D$535),2,
    AND(C246&lt;C$535,D246&lt;D$535),4,
    AND(C246&lt;C$535,D246&gt;D$535),3,
    TRUE,""
)</f>
        <v>2</v>
      </c>
      <c r="H246" s="5"/>
      <c r="I246" s="5"/>
    </row>
    <row r="247" spans="1:9" x14ac:dyDescent="0.35">
      <c r="A247" s="1" t="s">
        <v>79</v>
      </c>
      <c r="B247" s="2">
        <v>34.298000000000002</v>
      </c>
      <c r="C247" s="2">
        <v>252.95699999999999</v>
      </c>
      <c r="D247" s="5">
        <f>+VLOOKUP(A247,Sheet6!A:D,4,0)</f>
        <v>0.18757921419518378</v>
      </c>
      <c r="E247" s="5">
        <f t="shared" si="3"/>
        <v>6.4335918884664139E-3</v>
      </c>
      <c r="F247" s="5" cm="1">
        <f t="array" ref="F247">_xlfn.IFS(
    AND(C247&gt;C$535,D247&lt;D$535),1,
    AND(C247&gt;C$535,D247&gt;D$535),2,
    AND(C247&lt;C$535,D247&lt;D$535),4,
    AND(C247&lt;C$535,D247&gt;D$535),3,
    TRUE,""
)</f>
        <v>1</v>
      </c>
      <c r="H247" s="5"/>
      <c r="I247" s="5"/>
    </row>
    <row r="248" spans="1:9" x14ac:dyDescent="0.35">
      <c r="A248" s="1" t="s">
        <v>78</v>
      </c>
      <c r="B248" s="2">
        <v>2.9169999999999998</v>
      </c>
      <c r="C248" s="2">
        <v>223.858</v>
      </c>
      <c r="D248" s="5">
        <f>+VLOOKUP(A248,Sheet6!A:D,4,0)</f>
        <v>0.125</v>
      </c>
      <c r="E248" s="5">
        <f t="shared" si="3"/>
        <v>3.6462499999999999E-4</v>
      </c>
      <c r="F248" s="5" cm="1">
        <f t="array" ref="F248">_xlfn.IFS(
    AND(C248&gt;C$535,D248&lt;D$535),1,
    AND(C248&gt;C$535,D248&gt;D$535),2,
    AND(C248&lt;C$535,D248&lt;D$535),4,
    AND(C248&lt;C$535,D248&gt;D$535),3,
    TRUE,""
)</f>
        <v>4</v>
      </c>
      <c r="H248" s="5"/>
      <c r="I248" s="5"/>
    </row>
    <row r="249" spans="1:9" x14ac:dyDescent="0.35">
      <c r="A249" s="1" t="s">
        <v>336</v>
      </c>
      <c r="B249" s="2">
        <v>65.813999999999993</v>
      </c>
      <c r="C249" s="2">
        <v>194.48699999999999</v>
      </c>
      <c r="D249" s="5">
        <f>+VLOOKUP(A249,Sheet6!A:D,4,0)</f>
        <v>0.26185958254269448</v>
      </c>
      <c r="E249" s="5">
        <f t="shared" si="3"/>
        <v>1.723402656546489E-2</v>
      </c>
      <c r="F249" s="5" cm="1">
        <f t="array" ref="F249">_xlfn.IFS(
    AND(C249&gt;C$535,D249&lt;D$535),1,
    AND(C249&gt;C$535,D249&gt;D$535),2,
    AND(C249&lt;C$535,D249&lt;D$535),4,
    AND(C249&lt;C$535,D249&gt;D$535),3,
    TRUE,""
)</f>
        <v>3</v>
      </c>
      <c r="H249" s="5"/>
      <c r="I249" s="5"/>
    </row>
    <row r="250" spans="1:9" x14ac:dyDescent="0.35">
      <c r="A250" s="1" t="s">
        <v>77</v>
      </c>
      <c r="B250" s="1">
        <v>2.589E-2</v>
      </c>
      <c r="C250" s="2">
        <v>265.96699999999998</v>
      </c>
      <c r="D250" s="5">
        <f>+VLOOKUP(A250,Sheet6!A:D,4,0)</f>
        <v>0.20512820512820512</v>
      </c>
      <c r="E250" s="5">
        <f t="shared" si="3"/>
        <v>5.3107692307692309E-6</v>
      </c>
      <c r="F250" s="5" cm="1">
        <f t="array" ref="F250">_xlfn.IFS(
    AND(C250&gt;C$535,D250&lt;D$535),1,
    AND(C250&gt;C$535,D250&gt;D$535),2,
    AND(C250&lt;C$535,D250&lt;D$535),4,
    AND(C250&lt;C$535,D250&gt;D$535),3,
    TRUE,""
)</f>
        <v>1</v>
      </c>
      <c r="H250" s="5"/>
      <c r="I250" s="5"/>
    </row>
    <row r="251" spans="1:9" x14ac:dyDescent="0.35">
      <c r="A251" s="1" t="s">
        <v>76</v>
      </c>
      <c r="B251" s="2">
        <v>36.896000000000001</v>
      </c>
      <c r="C251" s="2">
        <v>225.149</v>
      </c>
      <c r="D251" s="5">
        <f>+VLOOKUP(A251,Sheet6!A:D,4,0)</f>
        <v>0.14119922630560927</v>
      </c>
      <c r="E251" s="5">
        <f t="shared" si="3"/>
        <v>5.2096866537717596E-3</v>
      </c>
      <c r="F251" s="5" cm="1">
        <f t="array" ref="F251">_xlfn.IFS(
    AND(C251&gt;C$535,D251&lt;D$535),1,
    AND(C251&gt;C$535,D251&gt;D$535),2,
    AND(C251&lt;C$535,D251&lt;D$535),4,
    AND(C251&lt;C$535,D251&gt;D$535),3,
    TRUE,""
)</f>
        <v>4</v>
      </c>
      <c r="H251" s="5"/>
      <c r="I251" s="5"/>
    </row>
    <row r="252" spans="1:9" x14ac:dyDescent="0.35">
      <c r="A252" s="1" t="s">
        <v>337</v>
      </c>
      <c r="B252" s="1">
        <v>3.039E-2</v>
      </c>
      <c r="C252" s="1">
        <v>0.28437000000000001</v>
      </c>
      <c r="D252" s="5">
        <f>+VLOOKUP(A252,Sheet6!A:D,4,0)</f>
        <v>0.17871485943775098</v>
      </c>
      <c r="E252" s="5">
        <f t="shared" si="3"/>
        <v>5.4311445783132524E-6</v>
      </c>
      <c r="F252" s="5" cm="1">
        <f t="array" ref="F252">_xlfn.IFS(
    AND(C252&gt;C$535,D252&lt;D$535),1,
    AND(C252&gt;C$535,D252&gt;D$535),2,
    AND(C252&lt;C$535,D252&lt;D$535),4,
    AND(C252&lt;C$535,D252&gt;D$535),3,
    TRUE,""
)</f>
        <v>4</v>
      </c>
      <c r="H252" s="5"/>
      <c r="I252" s="5"/>
    </row>
    <row r="253" spans="1:9" x14ac:dyDescent="0.35">
      <c r="A253" s="1" t="s">
        <v>75</v>
      </c>
      <c r="B253" s="2">
        <v>5.8860000000000001</v>
      </c>
      <c r="C253" s="2">
        <v>329.28300000000002</v>
      </c>
      <c r="D253" s="5">
        <f>+VLOOKUP(A253,Sheet6!A:D,4,0)</f>
        <v>0.57516339869281041</v>
      </c>
      <c r="E253" s="5">
        <f t="shared" si="3"/>
        <v>3.385411764705882E-3</v>
      </c>
      <c r="F253" s="5" cm="1">
        <f t="array" ref="F253">_xlfn.IFS(
    AND(C253&gt;C$535,D253&lt;D$535),1,
    AND(C253&gt;C$535,D253&gt;D$535),2,
    AND(C253&lt;C$535,D253&lt;D$535),4,
    AND(C253&lt;C$535,D253&gt;D$535),3,
    TRUE,""
)</f>
        <v>2</v>
      </c>
      <c r="H253" s="5"/>
      <c r="I253" s="5"/>
    </row>
    <row r="254" spans="1:9" ht="29" x14ac:dyDescent="0.35">
      <c r="A254" s="1" t="s">
        <v>338</v>
      </c>
      <c r="B254" s="2">
        <v>2.5910000000000002</v>
      </c>
      <c r="C254" s="2">
        <v>318.42500000000001</v>
      </c>
      <c r="D254" s="5">
        <f>+VLOOKUP(A254,Sheet6!A:D,4,0)</f>
        <v>0.81115879828326176</v>
      </c>
      <c r="E254" s="5">
        <f t="shared" si="3"/>
        <v>2.1017124463519315E-3</v>
      </c>
      <c r="F254" s="5" cm="1">
        <f t="array" ref="F254">_xlfn.IFS(
    AND(C254&gt;C$535,D254&lt;D$535),1,
    AND(C254&gt;C$535,D254&gt;D$535),2,
    AND(C254&lt;C$535,D254&lt;D$535),4,
    AND(C254&lt;C$535,D254&gt;D$535),3,
    TRUE,""
)</f>
        <v>2</v>
      </c>
      <c r="H254" s="5"/>
      <c r="I254" s="5"/>
    </row>
    <row r="255" spans="1:9" x14ac:dyDescent="0.35">
      <c r="A255" s="1" t="s">
        <v>339</v>
      </c>
      <c r="B255" s="2">
        <v>38.628999999999998</v>
      </c>
      <c r="C255" s="2">
        <v>272.66699999999997</v>
      </c>
      <c r="D255" s="5">
        <f>+VLOOKUP(A255,Sheet6!A:D,4,0)</f>
        <v>0.12143611404435056</v>
      </c>
      <c r="E255" s="5">
        <f t="shared" si="3"/>
        <v>4.6909556494192173E-3</v>
      </c>
      <c r="F255" s="5" cm="1">
        <f t="array" ref="F255">_xlfn.IFS(
    AND(C255&gt;C$535,D255&lt;D$535),1,
    AND(C255&gt;C$535,D255&gt;D$535),2,
    AND(C255&lt;C$535,D255&lt;D$535),4,
    AND(C255&lt;C$535,D255&gt;D$535),3,
    TRUE,""
)</f>
        <v>1</v>
      </c>
      <c r="H255" s="5"/>
      <c r="I255" s="5"/>
    </row>
    <row r="256" spans="1:9" x14ac:dyDescent="0.35">
      <c r="A256" s="1" t="s">
        <v>340</v>
      </c>
      <c r="B256" s="2">
        <v>75.966999999999999</v>
      </c>
      <c r="C256" s="2">
        <v>250.465</v>
      </c>
      <c r="D256" s="5">
        <f>+VLOOKUP(A256,Sheet6!A:D,4,0)</f>
        <v>0.25566343042071199</v>
      </c>
      <c r="E256" s="5">
        <f t="shared" si="3"/>
        <v>1.9421983818770226E-2</v>
      </c>
      <c r="F256" s="5" cm="1">
        <f t="array" ref="F256">_xlfn.IFS(
    AND(C256&gt;C$535,D256&lt;D$535),1,
    AND(C256&gt;C$535,D256&gt;D$535),2,
    AND(C256&lt;C$535,D256&lt;D$535),4,
    AND(C256&lt;C$535,D256&gt;D$535),3,
    TRUE,""
)</f>
        <v>1</v>
      </c>
      <c r="H256" s="5"/>
      <c r="I256" s="5"/>
    </row>
    <row r="257" spans="1:9" x14ac:dyDescent="0.35">
      <c r="A257" s="1" t="s">
        <v>341</v>
      </c>
      <c r="B257" s="2">
        <v>64.119</v>
      </c>
      <c r="C257" s="2">
        <v>242.345</v>
      </c>
      <c r="D257" s="5">
        <f>+VLOOKUP(A257,Sheet6!A:D,4,0)</f>
        <v>0.24551282051282053</v>
      </c>
      <c r="E257" s="5">
        <f t="shared" si="3"/>
        <v>1.574203653846154E-2</v>
      </c>
      <c r="F257" s="5" cm="1">
        <f t="array" ref="F257">_xlfn.IFS(
    AND(C257&gt;C$535,D257&lt;D$535),1,
    AND(C257&gt;C$535,D257&gt;D$535),2,
    AND(C257&lt;C$535,D257&lt;D$535),4,
    AND(C257&lt;C$535,D257&gt;D$535),3,
    TRUE,""
)</f>
        <v>1</v>
      </c>
      <c r="H257" s="5"/>
      <c r="I257" s="5"/>
    </row>
    <row r="258" spans="1:9" x14ac:dyDescent="0.35">
      <c r="A258" s="1" t="s">
        <v>342</v>
      </c>
      <c r="B258" s="1">
        <v>5.2699999999999995E-3</v>
      </c>
      <c r="C258" s="2">
        <v>206.07499999999999</v>
      </c>
      <c r="D258" s="5">
        <f>+VLOOKUP(A258,Sheet6!A:D,4,0)</f>
        <v>0.33673469387755106</v>
      </c>
      <c r="E258" s="5">
        <f t="shared" ref="E258:E321" si="4">(B258*D258)/1000</f>
        <v>1.7745918367346939E-6</v>
      </c>
      <c r="F258" s="5" cm="1">
        <f t="array" ref="F258">_xlfn.IFS(
    AND(C258&gt;C$535,D258&lt;D$535),1,
    AND(C258&gt;C$535,D258&gt;D$535),2,
    AND(C258&lt;C$535,D258&lt;D$535),4,
    AND(C258&lt;C$535,D258&gt;D$535),3,
    TRUE,""
)</f>
        <v>3</v>
      </c>
      <c r="H258" s="5"/>
      <c r="I258" s="5"/>
    </row>
    <row r="259" spans="1:9" x14ac:dyDescent="0.35">
      <c r="A259" s="1" t="s">
        <v>74</v>
      </c>
      <c r="B259" s="2">
        <v>28.795000000000002</v>
      </c>
      <c r="C259" s="2">
        <v>330.16399999999999</v>
      </c>
      <c r="D259" s="5">
        <f>+VLOOKUP(A259,Sheet6!A:D,4,0)</f>
        <v>0.16594827586206898</v>
      </c>
      <c r="E259" s="5">
        <f t="shared" si="4"/>
        <v>4.7784806034482765E-3</v>
      </c>
      <c r="F259" s="5" cm="1">
        <f t="array" ref="F259">_xlfn.IFS(
    AND(C259&gt;C$535,D259&lt;D$535),1,
    AND(C259&gt;C$535,D259&gt;D$535),2,
    AND(C259&lt;C$535,D259&lt;D$535),4,
    AND(C259&lt;C$535,D259&gt;D$535),3,
    TRUE,""
)</f>
        <v>1</v>
      </c>
      <c r="H259" s="5"/>
      <c r="I259" s="5"/>
    </row>
    <row r="260" spans="1:9" x14ac:dyDescent="0.35">
      <c r="A260" s="1" t="s">
        <v>73</v>
      </c>
      <c r="B260" s="2">
        <v>26.048999999999999</v>
      </c>
      <c r="C260" s="2">
        <v>244.00200000000001</v>
      </c>
      <c r="D260" s="5">
        <f>+VLOOKUP(A260,Sheet6!A:D,4,0)</f>
        <v>0.19718309859154928</v>
      </c>
      <c r="E260" s="5">
        <f t="shared" si="4"/>
        <v>5.1364225352112667E-3</v>
      </c>
      <c r="F260" s="5" cm="1">
        <f t="array" ref="F260">_xlfn.IFS(
    AND(C260&gt;C$535,D260&lt;D$535),1,
    AND(C260&gt;C$535,D260&gt;D$535),2,
    AND(C260&lt;C$535,D260&lt;D$535),4,
    AND(C260&lt;C$535,D260&gt;D$535),3,
    TRUE,""
)</f>
        <v>1</v>
      </c>
      <c r="H260" s="5"/>
      <c r="I260" s="5"/>
    </row>
    <row r="261" spans="1:9" x14ac:dyDescent="0.35">
      <c r="A261" s="1" t="s">
        <v>72</v>
      </c>
      <c r="B261" s="2">
        <v>23.965</v>
      </c>
      <c r="C261" s="2">
        <v>269.01299999999998</v>
      </c>
      <c r="D261" s="5">
        <f>+VLOOKUP(A261,Sheet6!A:D,4,0)</f>
        <v>0.23518518518518516</v>
      </c>
      <c r="E261" s="5">
        <f t="shared" si="4"/>
        <v>5.6362129629629627E-3</v>
      </c>
      <c r="F261" s="5" cm="1">
        <f t="array" ref="F261">_xlfn.IFS(
    AND(C261&gt;C$535,D261&lt;D$535),1,
    AND(C261&gt;C$535,D261&gt;D$535),2,
    AND(C261&lt;C$535,D261&lt;D$535),4,
    AND(C261&lt;C$535,D261&gt;D$535),3,
    TRUE,""
)</f>
        <v>1</v>
      </c>
      <c r="H261" s="5"/>
      <c r="I261" s="5"/>
    </row>
    <row r="262" spans="1:9" x14ac:dyDescent="0.35">
      <c r="A262" s="1" t="s">
        <v>343</v>
      </c>
      <c r="B262" s="2">
        <v>6.6189999999999998</v>
      </c>
      <c r="C262" s="2">
        <v>265.60399999999998</v>
      </c>
      <c r="D262" s="5">
        <f>+VLOOKUP(A262,Sheet6!A:D,4,0)</f>
        <v>6.3492063492063489E-2</v>
      </c>
      <c r="E262" s="5">
        <f t="shared" si="4"/>
        <v>4.202539682539682E-4</v>
      </c>
      <c r="F262" s="5" cm="1">
        <f t="array" ref="F262">_xlfn.IFS(
    AND(C262&gt;C$535,D262&lt;D$535),1,
    AND(C262&gt;C$535,D262&gt;D$535),2,
    AND(C262&lt;C$535,D262&lt;D$535),4,
    AND(C262&lt;C$535,D262&gt;D$535),3,
    TRUE,""
)</f>
        <v>1</v>
      </c>
      <c r="H262" s="5"/>
      <c r="I262" s="5"/>
    </row>
    <row r="263" spans="1:9" x14ac:dyDescent="0.35">
      <c r="A263" s="1" t="s">
        <v>344</v>
      </c>
      <c r="B263" s="2">
        <v>68.558000000000007</v>
      </c>
      <c r="C263" s="2">
        <v>217.68299999999999</v>
      </c>
      <c r="D263" s="5">
        <f>+VLOOKUP(A263,Sheet6!A:D,4,0)</f>
        <v>0.16677874915938132</v>
      </c>
      <c r="E263" s="5">
        <f t="shared" si="4"/>
        <v>1.1434017484868865E-2</v>
      </c>
      <c r="F263" s="5" cm="1">
        <f t="array" ref="F263">_xlfn.IFS(
    AND(C263&gt;C$535,D263&lt;D$535),1,
    AND(C263&gt;C$535,D263&gt;D$535),2,
    AND(C263&lt;C$535,D263&lt;D$535),4,
    AND(C263&lt;C$535,D263&gt;D$535),3,
    TRUE,""
)</f>
        <v>4</v>
      </c>
      <c r="H263" s="5"/>
      <c r="I263" s="5"/>
    </row>
    <row r="264" spans="1:9" x14ac:dyDescent="0.35">
      <c r="A264" s="1" t="s">
        <v>345</v>
      </c>
      <c r="B264" s="2">
        <v>43.149000000000001</v>
      </c>
      <c r="C264" s="2">
        <v>304.54700000000003</v>
      </c>
      <c r="D264" s="5">
        <f>+VLOOKUP(A264,Sheet6!A:D,4,0)</f>
        <v>0.21241379310344827</v>
      </c>
      <c r="E264" s="5">
        <f t="shared" si="4"/>
        <v>9.1654427586206899E-3</v>
      </c>
      <c r="F264" s="5" cm="1">
        <f t="array" ref="F264">_xlfn.IFS(
    AND(C264&gt;C$535,D264&lt;D$535),1,
    AND(C264&gt;C$535,D264&gt;D$535),2,
    AND(C264&lt;C$535,D264&lt;D$535),4,
    AND(C264&lt;C$535,D264&gt;D$535),3,
    TRUE,""
)</f>
        <v>1</v>
      </c>
      <c r="H264" s="5"/>
      <c r="I264" s="5"/>
    </row>
    <row r="265" spans="1:9" x14ac:dyDescent="0.35">
      <c r="A265" s="1" t="s">
        <v>70</v>
      </c>
      <c r="B265" s="2">
        <v>22.552</v>
      </c>
      <c r="C265" s="2">
        <v>200.86600000000001</v>
      </c>
      <c r="D265" s="5">
        <f>+VLOOKUP(A265,Sheet6!A:D,4,0)</f>
        <v>0.40697674418604651</v>
      </c>
      <c r="E265" s="5">
        <f t="shared" si="4"/>
        <v>9.1781395348837207E-3</v>
      </c>
      <c r="F265" s="5" cm="1">
        <f t="array" ref="F265">_xlfn.IFS(
    AND(C265&gt;C$535,D265&lt;D$535),1,
    AND(C265&gt;C$535,D265&gt;D$535),2,
    AND(C265&lt;C$535,D265&lt;D$535),4,
    AND(C265&lt;C$535,D265&gt;D$535),3,
    TRUE,""
)</f>
        <v>3</v>
      </c>
      <c r="H265" s="5"/>
      <c r="I265" s="5"/>
    </row>
    <row r="266" spans="1:9" x14ac:dyDescent="0.35">
      <c r="A266" s="1" t="s">
        <v>346</v>
      </c>
      <c r="B266" s="2">
        <v>33.896000000000001</v>
      </c>
      <c r="C266" s="1">
        <v>0.29048000000000002</v>
      </c>
      <c r="D266" s="5">
        <f>+VLOOKUP(A266,Sheet6!A:D,4,0)</f>
        <v>0.36748329621380843</v>
      </c>
      <c r="E266" s="5">
        <f t="shared" si="4"/>
        <v>1.245621380846325E-2</v>
      </c>
      <c r="F266" s="5" cm="1">
        <f t="array" ref="F266">_xlfn.IFS(
    AND(C266&gt;C$535,D266&lt;D$535),1,
    AND(C266&gt;C$535,D266&gt;D$535),2,
    AND(C266&lt;C$535,D266&lt;D$535),4,
    AND(C266&lt;C$535,D266&gt;D$535),3,
    TRUE,""
)</f>
        <v>3</v>
      </c>
      <c r="H266" s="5"/>
      <c r="I266" s="5"/>
    </row>
    <row r="267" spans="1:9" x14ac:dyDescent="0.35">
      <c r="A267" s="1" t="s">
        <v>69</v>
      </c>
      <c r="B267" s="2">
        <v>5.4580000000000002</v>
      </c>
      <c r="C267" s="2">
        <v>388.23399999999998</v>
      </c>
      <c r="D267" s="5">
        <f>+VLOOKUP(A267,Sheet6!A:D,4,0)</f>
        <v>7.6923076923076927E-2</v>
      </c>
      <c r="E267" s="5">
        <f t="shared" si="4"/>
        <v>4.1984615384615389E-4</v>
      </c>
      <c r="F267" s="5" cm="1">
        <f t="array" ref="F267">_xlfn.IFS(
    AND(C267&gt;C$535,D267&lt;D$535),1,
    AND(C267&gt;C$535,D267&gt;D$535),2,
    AND(C267&lt;C$535,D267&lt;D$535),4,
    AND(C267&lt;C$535,D267&gt;D$535),3,
    TRUE,""
)</f>
        <v>1</v>
      </c>
      <c r="H267" s="5"/>
      <c r="I267" s="5"/>
    </row>
    <row r="268" spans="1:9" ht="29" x14ac:dyDescent="0.35">
      <c r="A268" s="1" t="s">
        <v>347</v>
      </c>
      <c r="B268" s="2">
        <v>12.215999999999999</v>
      </c>
      <c r="C268" s="2">
        <v>286.59899999999999</v>
      </c>
      <c r="D268" s="5">
        <f>+VLOOKUP(A268,Sheet6!A:D,4,0)</f>
        <v>0.26380368098159512</v>
      </c>
      <c r="E268" s="5">
        <f t="shared" si="4"/>
        <v>3.2226257668711662E-3</v>
      </c>
      <c r="F268" s="5" cm="1">
        <f t="array" ref="F268">_xlfn.IFS(
    AND(C268&gt;C$535,D268&lt;D$535),1,
    AND(C268&gt;C$535,D268&gt;D$535),2,
    AND(C268&lt;C$535,D268&lt;D$535),4,
    AND(C268&lt;C$535,D268&gt;D$535),3,
    TRUE,""
)</f>
        <v>2</v>
      </c>
      <c r="H268" s="5"/>
      <c r="I268" s="5"/>
    </row>
    <row r="269" spans="1:9" ht="29" x14ac:dyDescent="0.35">
      <c r="A269" s="1" t="s">
        <v>68</v>
      </c>
      <c r="B269" s="2">
        <v>7.0590000000000002</v>
      </c>
      <c r="C269" s="2">
        <v>309.12799999999999</v>
      </c>
      <c r="D269" s="5">
        <f>+VLOOKUP(A269,Sheet6!A:D,4,0)</f>
        <v>0.26744186046511625</v>
      </c>
      <c r="E269" s="5">
        <f t="shared" si="4"/>
        <v>1.8878720930232558E-3</v>
      </c>
      <c r="F269" s="5" cm="1">
        <f t="array" ref="F269">_xlfn.IFS(
    AND(C269&gt;C$535,D269&lt;D$535),1,
    AND(C269&gt;C$535,D269&gt;D$535),2,
    AND(C269&lt;C$535,D269&lt;D$535),4,
    AND(C269&lt;C$535,D269&gt;D$535),3,
    TRUE,""
)</f>
        <v>2</v>
      </c>
      <c r="H269" s="5"/>
      <c r="I269" s="5"/>
    </row>
    <row r="270" spans="1:9" x14ac:dyDescent="0.35">
      <c r="A270" s="1" t="s">
        <v>348</v>
      </c>
      <c r="B270" s="2">
        <v>72.486999999999995</v>
      </c>
      <c r="C270" s="2">
        <v>272.00599999999997</v>
      </c>
      <c r="D270" s="5">
        <f>+VLOOKUP(A270,Sheet6!A:D,4,0)</f>
        <v>0.26652452025586354</v>
      </c>
      <c r="E270" s="5">
        <f t="shared" si="4"/>
        <v>1.9319562899786778E-2</v>
      </c>
      <c r="F270" s="5" cm="1">
        <f t="array" ref="F270">_xlfn.IFS(
    AND(C270&gt;C$535,D270&lt;D$535),1,
    AND(C270&gt;C$535,D270&gt;D$535),2,
    AND(C270&lt;C$535,D270&lt;D$535),4,
    AND(C270&lt;C$535,D270&gt;D$535),3,
    TRUE,""
)</f>
        <v>2</v>
      </c>
      <c r="H270" s="5"/>
      <c r="I270" s="5"/>
    </row>
    <row r="271" spans="1:9" x14ac:dyDescent="0.35">
      <c r="A271" s="1" t="s">
        <v>349</v>
      </c>
      <c r="B271" s="2">
        <v>42.308</v>
      </c>
      <c r="C271" s="2">
        <v>302.423</v>
      </c>
      <c r="D271" s="5">
        <f>+VLOOKUP(A271,Sheet6!A:D,4,0)</f>
        <v>0.30217391304347824</v>
      </c>
      <c r="E271" s="5">
        <f t="shared" si="4"/>
        <v>1.2784373913043478E-2</v>
      </c>
      <c r="F271" s="5" cm="1">
        <f t="array" ref="F271">_xlfn.IFS(
    AND(C271&gt;C$535,D271&lt;D$535),1,
    AND(C271&gt;C$535,D271&gt;D$535),2,
    AND(C271&lt;C$535,D271&lt;D$535),4,
    AND(C271&lt;C$535,D271&gt;D$535),3,
    TRUE,""
)</f>
        <v>2</v>
      </c>
      <c r="H271" s="5"/>
      <c r="I271" s="5"/>
    </row>
    <row r="272" spans="1:9" x14ac:dyDescent="0.35">
      <c r="A272" s="1" t="s">
        <v>350</v>
      </c>
      <c r="B272" s="2">
        <v>35.000999999999998</v>
      </c>
      <c r="C272" s="1">
        <v>0.30725000000000002</v>
      </c>
      <c r="D272" s="5">
        <f>+VLOOKUP(A272,Sheet6!A:D,4,0)</f>
        <v>0.23529411764705885</v>
      </c>
      <c r="E272" s="5">
        <f t="shared" si="4"/>
        <v>8.2355294117647058E-3</v>
      </c>
      <c r="F272" s="5" cm="1">
        <f t="array" ref="F272">_xlfn.IFS(
    AND(C272&gt;C$535,D272&lt;D$535),1,
    AND(C272&gt;C$535,D272&gt;D$535),2,
    AND(C272&lt;C$535,D272&lt;D$535),4,
    AND(C272&lt;C$535,D272&gt;D$535),3,
    TRUE,""
)</f>
        <v>4</v>
      </c>
      <c r="H272" s="5"/>
      <c r="I272" s="5"/>
    </row>
    <row r="273" spans="1:9" x14ac:dyDescent="0.35">
      <c r="A273" s="1" t="s">
        <v>351</v>
      </c>
      <c r="B273" s="2">
        <v>23.466000000000001</v>
      </c>
      <c r="C273" s="1">
        <v>0.26524000000000003</v>
      </c>
      <c r="D273" s="5">
        <f>+VLOOKUP(A273,Sheet6!A:D,4,0)</f>
        <v>0.15398886827458255</v>
      </c>
      <c r="E273" s="5">
        <f t="shared" si="4"/>
        <v>3.6135027829313545E-3</v>
      </c>
      <c r="F273" s="5" cm="1">
        <f t="array" ref="F273">_xlfn.IFS(
    AND(C273&gt;C$535,D273&lt;D$535),1,
    AND(C273&gt;C$535,D273&gt;D$535),2,
    AND(C273&lt;C$535,D273&lt;D$535),4,
    AND(C273&lt;C$535,D273&gt;D$535),3,
    TRUE,""
)</f>
        <v>4</v>
      </c>
      <c r="H273" s="5"/>
      <c r="I273" s="5"/>
    </row>
    <row r="274" spans="1:9" x14ac:dyDescent="0.35">
      <c r="A274" s="1" t="s">
        <v>352</v>
      </c>
      <c r="B274" s="1">
        <v>1.711E-2</v>
      </c>
      <c r="C274" s="2">
        <v>282.82499999999999</v>
      </c>
      <c r="D274" s="5">
        <f>+VLOOKUP(A274,Sheet6!A:D,4,0)</f>
        <v>0</v>
      </c>
      <c r="E274" s="5">
        <f t="shared" si="4"/>
        <v>0</v>
      </c>
      <c r="F274" s="5" cm="1">
        <f t="array" ref="F274">_xlfn.IFS(
    AND(C274&gt;C$535,D274&lt;D$535),1,
    AND(C274&gt;C$535,D274&gt;D$535),2,
    AND(C274&lt;C$535,D274&lt;D$535),4,
    AND(C274&lt;C$535,D274&gt;D$535),3,
    TRUE,""
)</f>
        <v>1</v>
      </c>
      <c r="H274" s="5"/>
      <c r="I274" s="5"/>
    </row>
    <row r="275" spans="1:9" x14ac:dyDescent="0.35">
      <c r="A275" s="1" t="s">
        <v>353</v>
      </c>
      <c r="B275" s="2">
        <v>8.5150000000000006</v>
      </c>
      <c r="C275" s="2">
        <v>309.58199999999999</v>
      </c>
      <c r="D275" s="5">
        <f>+VLOOKUP(A275,Sheet6!A:D,4,0)</f>
        <v>1</v>
      </c>
      <c r="E275" s="5">
        <f t="shared" si="4"/>
        <v>8.515E-3</v>
      </c>
      <c r="F275" s="5" cm="1">
        <f t="array" ref="F275">_xlfn.IFS(
    AND(C275&gt;C$535,D275&lt;D$535),1,
    AND(C275&gt;C$535,D275&gt;D$535),2,
    AND(C275&lt;C$535,D275&lt;D$535),4,
    AND(C275&lt;C$535,D275&gt;D$535),3,
    TRUE,""
)</f>
        <v>2</v>
      </c>
      <c r="H275" s="5"/>
      <c r="I275" s="5"/>
    </row>
    <row r="276" spans="1:9" x14ac:dyDescent="0.35">
      <c r="A276" s="1" t="s">
        <v>354</v>
      </c>
      <c r="B276" s="2">
        <v>61.305</v>
      </c>
      <c r="C276" s="2">
        <v>290.95600000000002</v>
      </c>
      <c r="D276" s="5">
        <f>+VLOOKUP(A276,Sheet6!A:D,4,0)</f>
        <v>0.26492287055667341</v>
      </c>
      <c r="E276" s="5">
        <f t="shared" si="4"/>
        <v>1.6241096579476862E-2</v>
      </c>
      <c r="F276" s="5" cm="1">
        <f t="array" ref="F276">_xlfn.IFS(
    AND(C276&gt;C$535,D276&lt;D$535),1,
    AND(C276&gt;C$535,D276&gt;D$535),2,
    AND(C276&lt;C$535,D276&lt;D$535),4,
    AND(C276&lt;C$535,D276&gt;D$535),3,
    TRUE,""
)</f>
        <v>2</v>
      </c>
      <c r="H276" s="5"/>
      <c r="I276" s="5"/>
    </row>
    <row r="277" spans="1:9" x14ac:dyDescent="0.35">
      <c r="A277" s="1" t="s">
        <v>355</v>
      </c>
      <c r="B277" s="2">
        <v>13.263</v>
      </c>
      <c r="C277" s="2">
        <v>256.197</v>
      </c>
      <c r="D277" s="5">
        <f>+VLOOKUP(A277,Sheet6!A:D,4,0)</f>
        <v>0.34113712374581939</v>
      </c>
      <c r="E277" s="5">
        <f t="shared" si="4"/>
        <v>4.5245016722408023E-3</v>
      </c>
      <c r="F277" s="5" cm="1">
        <f t="array" ref="F277">_xlfn.IFS(
    AND(C277&gt;C$535,D277&lt;D$535),1,
    AND(C277&gt;C$535,D277&gt;D$535),2,
    AND(C277&lt;C$535,D277&lt;D$535),4,
    AND(C277&lt;C$535,D277&gt;D$535),3,
    TRUE,""
)</f>
        <v>2</v>
      </c>
      <c r="H277" s="5"/>
      <c r="I277" s="5"/>
    </row>
    <row r="278" spans="1:9" x14ac:dyDescent="0.35">
      <c r="A278" s="1" t="s">
        <v>356</v>
      </c>
      <c r="B278" s="2">
        <v>33.067</v>
      </c>
      <c r="C278" s="2">
        <v>257.93099999999998</v>
      </c>
      <c r="D278" s="5">
        <f>+VLOOKUP(A278,Sheet6!A:D,4,0)</f>
        <v>0.33053221288515405</v>
      </c>
      <c r="E278" s="5">
        <f t="shared" si="4"/>
        <v>1.0929708683473389E-2</v>
      </c>
      <c r="F278" s="5" cm="1">
        <f t="array" ref="F278">_xlfn.IFS(
    AND(C278&gt;C$535,D278&lt;D$535),1,
    AND(C278&gt;C$535,D278&gt;D$535),2,
    AND(C278&lt;C$535,D278&lt;D$535),4,
    AND(C278&lt;C$535,D278&gt;D$535),3,
    TRUE,""
)</f>
        <v>2</v>
      </c>
      <c r="H278" s="5"/>
      <c r="I278" s="5"/>
    </row>
    <row r="279" spans="1:9" x14ac:dyDescent="0.35">
      <c r="A279" s="1" t="s">
        <v>357</v>
      </c>
      <c r="B279" s="2">
        <v>31.738</v>
      </c>
      <c r="C279" s="2">
        <v>371.69400000000002</v>
      </c>
      <c r="D279" s="5">
        <f>+VLOOKUP(A279,Sheet6!A:D,4,0)</f>
        <v>0.46352583586626139</v>
      </c>
      <c r="E279" s="5">
        <f t="shared" si="4"/>
        <v>1.4711382978723403E-2</v>
      </c>
      <c r="F279" s="5" cm="1">
        <f t="array" ref="F279">_xlfn.IFS(
    AND(C279&gt;C$535,D279&lt;D$535),1,
    AND(C279&gt;C$535,D279&gt;D$535),2,
    AND(C279&lt;C$535,D279&lt;D$535),4,
    AND(C279&lt;C$535,D279&gt;D$535),3,
    TRUE,""
)</f>
        <v>2</v>
      </c>
      <c r="H279" s="5"/>
      <c r="I279" s="5"/>
    </row>
    <row r="280" spans="1:9" x14ac:dyDescent="0.35">
      <c r="A280" s="1" t="s">
        <v>358</v>
      </c>
      <c r="B280" s="2">
        <v>10.999000000000001</v>
      </c>
      <c r="C280" s="2">
        <v>361.59399999999999</v>
      </c>
      <c r="D280" s="5">
        <f>+VLOOKUP(A280,Sheet6!A:D,4,0)</f>
        <v>0.46428571428571436</v>
      </c>
      <c r="E280" s="5">
        <f t="shared" si="4"/>
        <v>5.1066785714285728E-3</v>
      </c>
      <c r="F280" s="5" cm="1">
        <f t="array" ref="F280">_xlfn.IFS(
    AND(C280&gt;C$535,D280&lt;D$535),1,
    AND(C280&gt;C$535,D280&gt;D$535),2,
    AND(C280&lt;C$535,D280&lt;D$535),4,
    AND(C280&lt;C$535,D280&gt;D$535),3,
    TRUE,""
)</f>
        <v>2</v>
      </c>
      <c r="H280" s="5"/>
      <c r="I280" s="5"/>
    </row>
    <row r="281" spans="1:9" x14ac:dyDescent="0.35">
      <c r="A281" s="1" t="s">
        <v>359</v>
      </c>
      <c r="B281" s="2">
        <v>12.512</v>
      </c>
      <c r="C281" s="2">
        <v>309.13200000000001</v>
      </c>
      <c r="D281" s="5">
        <f>+VLOOKUP(A281,Sheet6!A:D,4,0)</f>
        <v>0.35983263598326359</v>
      </c>
      <c r="E281" s="5">
        <f t="shared" si="4"/>
        <v>4.5022259414225939E-3</v>
      </c>
      <c r="F281" s="5" cm="1">
        <f t="array" ref="F281">_xlfn.IFS(
    AND(C281&gt;C$535,D281&lt;D$535),1,
    AND(C281&gt;C$535,D281&gt;D$535),2,
    AND(C281&lt;C$535,D281&lt;D$535),4,
    AND(C281&lt;C$535,D281&gt;D$535),3,
    TRUE,""
)</f>
        <v>2</v>
      </c>
      <c r="H281" s="5"/>
      <c r="I281" s="5"/>
    </row>
    <row r="282" spans="1:9" x14ac:dyDescent="0.35">
      <c r="A282" s="1" t="s">
        <v>360</v>
      </c>
      <c r="B282" s="2">
        <v>7.4720000000000004</v>
      </c>
      <c r="C282" s="2">
        <v>360.93099999999998</v>
      </c>
      <c r="D282" s="5">
        <f>+VLOOKUP(A282,Sheet6!A:D,4,0)</f>
        <v>0.75090252707581229</v>
      </c>
      <c r="E282" s="5">
        <f t="shared" si="4"/>
        <v>5.6107436823104699E-3</v>
      </c>
      <c r="F282" s="5" cm="1">
        <f t="array" ref="F282">_xlfn.IFS(
    AND(C282&gt;C$535,D282&lt;D$535),1,
    AND(C282&gt;C$535,D282&gt;D$535),2,
    AND(C282&lt;C$535,D282&lt;D$535),4,
    AND(C282&lt;C$535,D282&gt;D$535),3,
    TRUE,""
)</f>
        <v>2</v>
      </c>
      <c r="H282" s="5"/>
      <c r="I282" s="5"/>
    </row>
    <row r="283" spans="1:9" x14ac:dyDescent="0.35">
      <c r="A283" s="1" t="s">
        <v>361</v>
      </c>
      <c r="B283" s="2">
        <v>9.1590000000000007</v>
      </c>
      <c r="C283" s="1">
        <v>0.20221</v>
      </c>
      <c r="D283" s="5">
        <f>+VLOOKUP(A283,Sheet6!A:D,4,0)</f>
        <v>0.26973684210526316</v>
      </c>
      <c r="E283" s="5">
        <f t="shared" si="4"/>
        <v>2.4705197368421056E-3</v>
      </c>
      <c r="F283" s="5" cm="1">
        <f t="array" ref="F283">_xlfn.IFS(
    AND(C283&gt;C$535,D283&lt;D$535),1,
    AND(C283&gt;C$535,D283&gt;D$535),2,
    AND(C283&lt;C$535,D283&lt;D$535),4,
    AND(C283&lt;C$535,D283&gt;D$535),3,
    TRUE,""
)</f>
        <v>3</v>
      </c>
      <c r="H283" s="5"/>
      <c r="I283" s="5"/>
    </row>
    <row r="284" spans="1:9" x14ac:dyDescent="0.35">
      <c r="A284" s="1" t="s">
        <v>362</v>
      </c>
      <c r="B284" s="2">
        <v>7.4870000000000001</v>
      </c>
      <c r="C284" s="2">
        <v>272.87400000000002</v>
      </c>
      <c r="D284" s="5">
        <f>+VLOOKUP(A284,Sheet6!A:D,4,0)</f>
        <v>0.1607142857142857</v>
      </c>
      <c r="E284" s="5">
        <f t="shared" si="4"/>
        <v>1.203267857142857E-3</v>
      </c>
      <c r="F284" s="5" cm="1">
        <f t="array" ref="F284">_xlfn.IFS(
    AND(C284&gt;C$535,D284&lt;D$535),1,
    AND(C284&gt;C$535,D284&gt;D$535),2,
    AND(C284&lt;C$535,D284&lt;D$535),4,
    AND(C284&lt;C$535,D284&gt;D$535),3,
    TRUE,""
)</f>
        <v>1</v>
      </c>
      <c r="H284" s="5"/>
      <c r="I284" s="5"/>
    </row>
    <row r="285" spans="1:9" x14ac:dyDescent="0.35">
      <c r="A285" s="1" t="s">
        <v>363</v>
      </c>
      <c r="B285" s="2">
        <v>20.876000000000001</v>
      </c>
      <c r="C285" s="2">
        <v>318.59100000000001</v>
      </c>
      <c r="D285" s="5">
        <f>+VLOOKUP(A285,Sheet6!A:D,4,0)</f>
        <v>0.43544303797468353</v>
      </c>
      <c r="E285" s="5">
        <f t="shared" si="4"/>
        <v>9.090308860759495E-3</v>
      </c>
      <c r="F285" s="5" cm="1">
        <f t="array" ref="F285">_xlfn.IFS(
    AND(C285&gt;C$535,D285&lt;D$535),1,
    AND(C285&gt;C$535,D285&gt;D$535),2,
    AND(C285&lt;C$535,D285&lt;D$535),4,
    AND(C285&lt;C$535,D285&gt;D$535),3,
    TRUE,""
)</f>
        <v>2</v>
      </c>
      <c r="H285" s="5"/>
      <c r="I285" s="5"/>
    </row>
    <row r="286" spans="1:9" x14ac:dyDescent="0.35">
      <c r="A286" s="1" t="s">
        <v>364</v>
      </c>
      <c r="B286" s="2">
        <v>5.2119999999999997</v>
      </c>
      <c r="C286" s="2">
        <v>203.751</v>
      </c>
      <c r="D286" s="5">
        <f>+VLOOKUP(A286,Sheet6!A:D,4,0)</f>
        <v>0.15053763440860216</v>
      </c>
      <c r="E286" s="5">
        <f t="shared" si="4"/>
        <v>7.8460215053763435E-4</v>
      </c>
      <c r="F286" s="5" cm="1">
        <f t="array" ref="F286">_xlfn.IFS(
    AND(C286&gt;C$535,D286&lt;D$535),1,
    AND(C286&gt;C$535,D286&gt;D$535),2,
    AND(C286&lt;C$535,D286&lt;D$535),4,
    AND(C286&lt;C$535,D286&gt;D$535),3,
    TRUE,""
)</f>
        <v>4</v>
      </c>
      <c r="H286" s="5"/>
      <c r="I286" s="5"/>
    </row>
    <row r="287" spans="1:9" x14ac:dyDescent="0.35">
      <c r="A287" s="1" t="s">
        <v>66</v>
      </c>
      <c r="B287" s="2">
        <v>17.803999999999998</v>
      </c>
      <c r="C287" s="2">
        <v>310.32100000000003</v>
      </c>
      <c r="D287" s="5">
        <f>+VLOOKUP(A287,Sheet6!A:D,4,0)</f>
        <v>0.33670886075949369</v>
      </c>
      <c r="E287" s="5">
        <f t="shared" si="4"/>
        <v>5.9947645569620248E-3</v>
      </c>
      <c r="F287" s="5" cm="1">
        <f t="array" ref="F287">_xlfn.IFS(
    AND(C287&gt;C$535,D287&lt;D$535),1,
    AND(C287&gt;C$535,D287&gt;D$535),2,
    AND(C287&lt;C$535,D287&lt;D$535),4,
    AND(C287&lt;C$535,D287&gt;D$535),3,
    TRUE,""
)</f>
        <v>2</v>
      </c>
      <c r="H287" s="5"/>
      <c r="I287" s="5"/>
    </row>
    <row r="288" spans="1:9" x14ac:dyDescent="0.35">
      <c r="A288" s="1" t="s">
        <v>365</v>
      </c>
      <c r="B288" s="2">
        <v>60.064999999999998</v>
      </c>
      <c r="C288" s="2">
        <v>228.56899999999999</v>
      </c>
      <c r="D288" s="5">
        <f>+VLOOKUP(A288,Sheet6!A:D,4,0)</f>
        <v>0.15184563758389263</v>
      </c>
      <c r="E288" s="5">
        <f t="shared" si="4"/>
        <v>9.1206082214765113E-3</v>
      </c>
      <c r="F288" s="5" cm="1">
        <f t="array" ref="F288">_xlfn.IFS(
    AND(C288&gt;C$535,D288&lt;D$535),1,
    AND(C288&gt;C$535,D288&gt;D$535),2,
    AND(C288&lt;C$535,D288&lt;D$535),4,
    AND(C288&lt;C$535,D288&gt;D$535),3,
    TRUE,""
)</f>
        <v>4</v>
      </c>
      <c r="H288" s="5"/>
      <c r="I288" s="5"/>
    </row>
    <row r="289" spans="1:9" x14ac:dyDescent="0.35">
      <c r="A289" s="1" t="s">
        <v>366</v>
      </c>
      <c r="B289" s="2">
        <v>57.616</v>
      </c>
      <c r="C289" s="2">
        <v>263.15699999999998</v>
      </c>
      <c r="D289" s="5">
        <f>+VLOOKUP(A289,Sheet6!A:D,4,0)</f>
        <v>0.11748251748251748</v>
      </c>
      <c r="E289" s="5">
        <f t="shared" si="4"/>
        <v>6.7688727272727277E-3</v>
      </c>
      <c r="F289" s="5" cm="1">
        <f t="array" ref="F289">_xlfn.IFS(
    AND(C289&gt;C$535,D289&lt;D$535),1,
    AND(C289&gt;C$535,D289&gt;D$535),2,
    AND(C289&lt;C$535,D289&lt;D$535),4,
    AND(C289&lt;C$535,D289&gt;D$535),3,
    TRUE,""
)</f>
        <v>1</v>
      </c>
      <c r="H289" s="5"/>
      <c r="I289" s="5"/>
    </row>
    <row r="290" spans="1:9" x14ac:dyDescent="0.35">
      <c r="A290" s="1" t="s">
        <v>367</v>
      </c>
      <c r="B290" s="2">
        <v>10.821</v>
      </c>
      <c r="C290" s="2">
        <v>225.851</v>
      </c>
      <c r="D290" s="5">
        <f>+VLOOKUP(A290,Sheet6!A:D,4,0)</f>
        <v>0.31496062992125984</v>
      </c>
      <c r="E290" s="5">
        <f t="shared" si="4"/>
        <v>3.4081889763779528E-3</v>
      </c>
      <c r="F290" s="5" cm="1">
        <f t="array" ref="F290">_xlfn.IFS(
    AND(C290&gt;C$535,D290&lt;D$535),1,
    AND(C290&gt;C$535,D290&gt;D$535),2,
    AND(C290&lt;C$535,D290&lt;D$535),4,
    AND(C290&lt;C$535,D290&gt;D$535),3,
    TRUE,""
)</f>
        <v>3</v>
      </c>
      <c r="H290" s="5"/>
      <c r="I290" s="5"/>
    </row>
    <row r="291" spans="1:9" ht="29" x14ac:dyDescent="0.35">
      <c r="A291" s="1" t="s">
        <v>65</v>
      </c>
      <c r="B291" s="2">
        <v>46.436</v>
      </c>
      <c r="C291" s="2">
        <v>316.416</v>
      </c>
      <c r="D291" s="5">
        <f>+VLOOKUP(A291,Sheet6!A:D,4,0)</f>
        <v>0.37327188940092171</v>
      </c>
      <c r="E291" s="5">
        <f t="shared" si="4"/>
        <v>1.73332534562212E-2</v>
      </c>
      <c r="F291" s="5" cm="1">
        <f t="array" ref="F291">_xlfn.IFS(
    AND(C291&gt;C$535,D291&lt;D$535),1,
    AND(C291&gt;C$535,D291&gt;D$535),2,
    AND(C291&lt;C$535,D291&lt;D$535),4,
    AND(C291&lt;C$535,D291&gt;D$535),3,
    TRUE,""
)</f>
        <v>2</v>
      </c>
      <c r="H291" s="5"/>
      <c r="I291" s="5"/>
    </row>
    <row r="292" spans="1:9" x14ac:dyDescent="0.35">
      <c r="A292" s="1" t="s">
        <v>368</v>
      </c>
      <c r="B292" s="2">
        <v>6.2329999999999997</v>
      </c>
      <c r="C292" s="2">
        <v>154.029</v>
      </c>
      <c r="D292" s="5">
        <f>+VLOOKUP(A292,Sheet6!A:D,4,0)</f>
        <v>0.19393939393939397</v>
      </c>
      <c r="E292" s="5">
        <f t="shared" si="4"/>
        <v>1.2088242424242426E-3</v>
      </c>
      <c r="F292" s="5" cm="1">
        <f t="array" ref="F292">_xlfn.IFS(
    AND(C292&gt;C$535,D292&lt;D$535),1,
    AND(C292&gt;C$535,D292&gt;D$535),2,
    AND(C292&lt;C$535,D292&lt;D$535),4,
    AND(C292&lt;C$535,D292&gt;D$535),3,
    TRUE,""
)</f>
        <v>4</v>
      </c>
      <c r="H292" s="5"/>
      <c r="I292" s="5"/>
    </row>
    <row r="293" spans="1:9" x14ac:dyDescent="0.35">
      <c r="A293" s="1" t="s">
        <v>369</v>
      </c>
      <c r="B293" s="2">
        <v>2.895</v>
      </c>
      <c r="C293" s="2">
        <v>157.512</v>
      </c>
      <c r="D293" s="5">
        <f>+VLOOKUP(A293,Sheet6!A:D,4,0)</f>
        <v>0.12857142857142859</v>
      </c>
      <c r="E293" s="5">
        <f t="shared" si="4"/>
        <v>3.7221428571428578E-4</v>
      </c>
      <c r="F293" s="5" cm="1">
        <f t="array" ref="F293">_xlfn.IFS(
    AND(C293&gt;C$535,D293&lt;D$535),1,
    AND(C293&gt;C$535,D293&gt;D$535),2,
    AND(C293&lt;C$535,D293&lt;D$535),4,
    AND(C293&lt;C$535,D293&gt;D$535),3,
    TRUE,""
)</f>
        <v>4</v>
      </c>
      <c r="H293" s="5"/>
      <c r="I293" s="5"/>
    </row>
    <row r="294" spans="1:9" x14ac:dyDescent="0.35">
      <c r="A294" s="1" t="s">
        <v>370</v>
      </c>
      <c r="B294" s="2">
        <v>7.1959999999999997</v>
      </c>
      <c r="C294" s="2">
        <v>170.65600000000001</v>
      </c>
      <c r="D294" s="5">
        <f>+VLOOKUP(A294,Sheet6!A:D,4,0)</f>
        <v>0.25853658536585372</v>
      </c>
      <c r="E294" s="5">
        <f t="shared" si="4"/>
        <v>1.8604292682926832E-3</v>
      </c>
      <c r="F294" s="5" cm="1">
        <f t="array" ref="F294">_xlfn.IFS(
    AND(C294&gt;C$535,D294&lt;D$535),1,
    AND(C294&gt;C$535,D294&gt;D$535),2,
    AND(C294&lt;C$535,D294&lt;D$535),4,
    AND(C294&lt;C$535,D294&gt;D$535),3,
    TRUE,""
)</f>
        <v>3</v>
      </c>
      <c r="H294" s="5"/>
      <c r="I294" s="5"/>
    </row>
    <row r="295" spans="1:9" x14ac:dyDescent="0.35">
      <c r="A295" s="1" t="s">
        <v>64</v>
      </c>
      <c r="B295" s="2">
        <v>3.1230000000000002</v>
      </c>
      <c r="C295" s="2">
        <v>320.245</v>
      </c>
      <c r="D295" s="5">
        <f>+VLOOKUP(A295,Sheet6!A:D,4,0)</f>
        <v>0.29032258064516125</v>
      </c>
      <c r="E295" s="5">
        <f t="shared" si="4"/>
        <v>9.0667741935483866E-4</v>
      </c>
      <c r="F295" s="5" cm="1">
        <f t="array" ref="F295">_xlfn.IFS(
    AND(C295&gt;C$535,D295&lt;D$535),1,
    AND(C295&gt;C$535,D295&gt;D$535),2,
    AND(C295&lt;C$535,D295&lt;D$535),4,
    AND(C295&lt;C$535,D295&gt;D$535),3,
    TRUE,""
)</f>
        <v>2</v>
      </c>
      <c r="H295" s="5"/>
      <c r="I295" s="5"/>
    </row>
    <row r="296" spans="1:9" x14ac:dyDescent="0.35">
      <c r="A296" s="1" t="s">
        <v>371</v>
      </c>
      <c r="B296" s="2">
        <v>31.882000000000001</v>
      </c>
      <c r="C296" s="2">
        <v>343.89400000000001</v>
      </c>
      <c r="D296" s="5">
        <f>+VLOOKUP(A296,Sheet6!A:D,4,0)</f>
        <v>0.48634812286689416</v>
      </c>
      <c r="E296" s="5">
        <f t="shared" si="4"/>
        <v>1.5505750853242321E-2</v>
      </c>
      <c r="F296" s="5" cm="1">
        <f t="array" ref="F296">_xlfn.IFS(
    AND(C296&gt;C$535,D296&lt;D$535),1,
    AND(C296&gt;C$535,D296&gt;D$535),2,
    AND(C296&lt;C$535,D296&lt;D$535),4,
    AND(C296&lt;C$535,D296&gt;D$535),3,
    TRUE,""
)</f>
        <v>2</v>
      </c>
      <c r="H296" s="5"/>
      <c r="I296" s="5"/>
    </row>
    <row r="297" spans="1:9" x14ac:dyDescent="0.35">
      <c r="A297" s="1" t="s">
        <v>372</v>
      </c>
      <c r="B297" s="2">
        <v>9.5830000000000002</v>
      </c>
      <c r="C297" s="2">
        <v>170.935</v>
      </c>
      <c r="D297" s="5">
        <f>+VLOOKUP(A297,Sheet6!A:D,4,0)</f>
        <v>0.2742857142857143</v>
      </c>
      <c r="E297" s="5">
        <f t="shared" si="4"/>
        <v>2.6284800000000003E-3</v>
      </c>
      <c r="F297" s="5" cm="1">
        <f t="array" ref="F297">_xlfn.IFS(
    AND(C297&gt;C$535,D297&lt;D$535),1,
    AND(C297&gt;C$535,D297&gt;D$535),2,
    AND(C297&lt;C$535,D297&lt;D$535),4,
    AND(C297&lt;C$535,D297&gt;D$535),3,
    TRUE,""
)</f>
        <v>3</v>
      </c>
      <c r="H297" s="5"/>
      <c r="I297" s="5"/>
    </row>
    <row r="298" spans="1:9" x14ac:dyDescent="0.35">
      <c r="A298" s="1" t="s">
        <v>373</v>
      </c>
      <c r="B298" s="2">
        <v>7.1180000000000003</v>
      </c>
      <c r="C298" s="2">
        <v>194.846</v>
      </c>
      <c r="D298" s="5">
        <f>+VLOOKUP(A298,Sheet6!A:D,4,0)</f>
        <v>0.24817518248175183</v>
      </c>
      <c r="E298" s="5">
        <f t="shared" si="4"/>
        <v>1.7665109489051097E-3</v>
      </c>
      <c r="F298" s="5" cm="1">
        <f t="array" ref="F298">_xlfn.IFS(
    AND(C298&gt;C$535,D298&lt;D$535),1,
    AND(C298&gt;C$535,D298&gt;D$535),2,
    AND(C298&lt;C$535,D298&lt;D$535),4,
    AND(C298&lt;C$535,D298&gt;D$535),3,
    TRUE,""
)</f>
        <v>4</v>
      </c>
      <c r="H298" s="5"/>
      <c r="I298" s="5"/>
    </row>
    <row r="299" spans="1:9" x14ac:dyDescent="0.35">
      <c r="A299" s="1" t="s">
        <v>374</v>
      </c>
      <c r="B299" s="2">
        <v>2.8959999999999999</v>
      </c>
      <c r="C299" s="2">
        <v>123.631</v>
      </c>
      <c r="D299" s="5">
        <f>+VLOOKUP(A299,Sheet6!A:D,4,0)</f>
        <v>0.32835820895522388</v>
      </c>
      <c r="E299" s="5">
        <f t="shared" si="4"/>
        <v>9.5092537313432837E-4</v>
      </c>
      <c r="F299" s="5" cm="1">
        <f t="array" ref="F299">_xlfn.IFS(
    AND(C299&gt;C$535,D299&lt;D$535),1,
    AND(C299&gt;C$535,D299&gt;D$535),2,
    AND(C299&lt;C$535,D299&lt;D$535),4,
    AND(C299&lt;C$535,D299&gt;D$535),3,
    TRUE,""
)</f>
        <v>3</v>
      </c>
      <c r="H299" s="5"/>
      <c r="I299" s="5"/>
    </row>
    <row r="300" spans="1:9" x14ac:dyDescent="0.35">
      <c r="A300" s="1" t="s">
        <v>375</v>
      </c>
      <c r="B300" s="2">
        <v>72.863</v>
      </c>
      <c r="C300" s="1">
        <v>0.19913999999999998</v>
      </c>
      <c r="D300" s="5">
        <f>+VLOOKUP(A300,Sheet6!A:D,4,0)</f>
        <v>0.21641791044776115</v>
      </c>
      <c r="E300" s="5">
        <f t="shared" si="4"/>
        <v>1.5768858208955221E-2</v>
      </c>
      <c r="F300" s="5" cm="1">
        <f t="array" ref="F300">_xlfn.IFS(
    AND(C300&gt;C$535,D300&lt;D$535),1,
    AND(C300&gt;C$535,D300&gt;D$535),2,
    AND(C300&lt;C$535,D300&lt;D$535),4,
    AND(C300&lt;C$535,D300&gt;D$535),3,
    TRUE,""
)</f>
        <v>4</v>
      </c>
      <c r="H300" s="5"/>
      <c r="I300" s="5"/>
    </row>
    <row r="301" spans="1:9" x14ac:dyDescent="0.35">
      <c r="A301" s="1" t="s">
        <v>376</v>
      </c>
      <c r="B301" s="2">
        <v>7.0869999999999997</v>
      </c>
      <c r="C301" s="2">
        <v>207.71600000000001</v>
      </c>
      <c r="D301" s="5">
        <f>+VLOOKUP(A301,Sheet6!A:D,4,0)</f>
        <v>0.18750000000000003</v>
      </c>
      <c r="E301" s="5">
        <f t="shared" si="4"/>
        <v>1.3288125000000001E-3</v>
      </c>
      <c r="F301" s="5" cm="1">
        <f t="array" ref="F301">_xlfn.IFS(
    AND(C301&gt;C$535,D301&lt;D$535),1,
    AND(C301&gt;C$535,D301&gt;D$535),2,
    AND(C301&lt;C$535,D301&lt;D$535),4,
    AND(C301&lt;C$535,D301&gt;D$535),3,
    TRUE,""
)</f>
        <v>4</v>
      </c>
      <c r="H301" s="5"/>
      <c r="I301" s="5"/>
    </row>
    <row r="302" spans="1:9" x14ac:dyDescent="0.35">
      <c r="A302" s="1" t="s">
        <v>377</v>
      </c>
      <c r="B302" s="2">
        <v>70.808000000000007</v>
      </c>
      <c r="C302" s="2">
        <v>290.87299999999999</v>
      </c>
      <c r="D302" s="5">
        <f>+VLOOKUP(A302,Sheet6!A:D,4,0)</f>
        <v>0.2080637132901941</v>
      </c>
      <c r="E302" s="5">
        <f t="shared" si="4"/>
        <v>1.4732575410652066E-2</v>
      </c>
      <c r="F302" s="5" cm="1">
        <f t="array" ref="F302">_xlfn.IFS(
    AND(C302&gt;C$535,D302&lt;D$535),1,
    AND(C302&gt;C$535,D302&gt;D$535),2,
    AND(C302&lt;C$535,D302&lt;D$535),4,
    AND(C302&lt;C$535,D302&gt;D$535),3,
    TRUE,""
)</f>
        <v>1</v>
      </c>
      <c r="H302" s="5"/>
      <c r="I302" s="5"/>
    </row>
    <row r="303" spans="1:9" x14ac:dyDescent="0.35">
      <c r="A303" s="1" t="s">
        <v>63</v>
      </c>
      <c r="B303" s="1">
        <v>2.887E-2</v>
      </c>
      <c r="C303" s="2">
        <v>250.227</v>
      </c>
      <c r="D303" s="5">
        <f>+VLOOKUP(A303,Sheet6!A:D,4,0)</f>
        <v>0.25341614906832294</v>
      </c>
      <c r="E303" s="5">
        <f t="shared" si="4"/>
        <v>7.3161242236024831E-6</v>
      </c>
      <c r="F303" s="5" cm="1">
        <f t="array" ref="F303">_xlfn.IFS(
    AND(C303&gt;C$535,D303&lt;D$535),1,
    AND(C303&gt;C$535,D303&gt;D$535),2,
    AND(C303&lt;C$535,D303&lt;D$535),4,
    AND(C303&lt;C$535,D303&gt;D$535),3,
    TRUE,""
)</f>
        <v>1</v>
      </c>
      <c r="H303" s="5"/>
      <c r="I303" s="5"/>
    </row>
    <row r="304" spans="1:9" x14ac:dyDescent="0.35">
      <c r="A304" s="1" t="s">
        <v>62</v>
      </c>
      <c r="B304" s="2">
        <v>19.626999999999999</v>
      </c>
      <c r="C304" s="2">
        <v>333.88400000000001</v>
      </c>
      <c r="D304" s="5">
        <f>+VLOOKUP(A304,Sheet6!A:D,4,0)</f>
        <v>0.19526627218934911</v>
      </c>
      <c r="E304" s="5">
        <f t="shared" si="4"/>
        <v>3.832491124260355E-3</v>
      </c>
      <c r="F304" s="5" cm="1">
        <f t="array" ref="F304">_xlfn.IFS(
    AND(C304&gt;C$535,D304&lt;D$535),1,
    AND(C304&gt;C$535,D304&gt;D$535),2,
    AND(C304&lt;C$535,D304&lt;D$535),4,
    AND(C304&lt;C$535,D304&gt;D$535),3,
    TRUE,""
)</f>
        <v>1</v>
      </c>
      <c r="H304" s="5"/>
      <c r="I304" s="5"/>
    </row>
    <row r="305" spans="1:9" x14ac:dyDescent="0.35">
      <c r="A305" s="1" t="s">
        <v>61</v>
      </c>
      <c r="B305" s="2">
        <v>22.225999999999999</v>
      </c>
      <c r="C305" s="2">
        <v>178.619</v>
      </c>
      <c r="D305" s="5">
        <f>+VLOOKUP(A305,Sheet6!A:D,4,0)</f>
        <v>0.31153846153846154</v>
      </c>
      <c r="E305" s="5">
        <f t="shared" si="4"/>
        <v>6.9242538461538458E-3</v>
      </c>
      <c r="F305" s="5" cm="1">
        <f t="array" ref="F305">_xlfn.IFS(
    AND(C305&gt;C$535,D305&lt;D$535),1,
    AND(C305&gt;C$535,D305&gt;D$535),2,
    AND(C305&lt;C$535,D305&lt;D$535),4,
    AND(C305&lt;C$535,D305&gt;D$535),3,
    TRUE,""
)</f>
        <v>3</v>
      </c>
      <c r="H305" s="5"/>
      <c r="I305" s="5"/>
    </row>
    <row r="306" spans="1:9" x14ac:dyDescent="0.35">
      <c r="A306" s="1" t="s">
        <v>378</v>
      </c>
      <c r="B306" s="2">
        <v>58.563000000000002</v>
      </c>
      <c r="C306" s="1">
        <v>0.23812</v>
      </c>
      <c r="D306" s="5">
        <f>+VLOOKUP(A306,Sheet6!A:D,4,0)</f>
        <v>0.19317356572258534</v>
      </c>
      <c r="E306" s="5">
        <f t="shared" si="4"/>
        <v>1.1312823529411766E-2</v>
      </c>
      <c r="F306" s="5" cm="1">
        <f t="array" ref="F306">_xlfn.IFS(
    AND(C306&gt;C$535,D306&lt;D$535),1,
    AND(C306&gt;C$535,D306&gt;D$535),2,
    AND(C306&lt;C$535,D306&lt;D$535),4,
    AND(C306&lt;C$535,D306&gt;D$535),3,
    TRUE,""
)</f>
        <v>4</v>
      </c>
      <c r="H306" s="5"/>
      <c r="I306" s="5"/>
    </row>
    <row r="307" spans="1:9" ht="29" x14ac:dyDescent="0.35">
      <c r="A307" s="1" t="s">
        <v>379</v>
      </c>
      <c r="B307" s="2">
        <v>56.920999999999999</v>
      </c>
      <c r="C307" s="2">
        <v>279.738</v>
      </c>
      <c r="D307" s="5">
        <f>+VLOOKUP(A307,Sheet6!A:D,4,0)</f>
        <v>0.17786308381317975</v>
      </c>
      <c r="E307" s="5">
        <f t="shared" si="4"/>
        <v>1.0124144593730004E-2</v>
      </c>
      <c r="F307" s="5" cm="1">
        <f t="array" ref="F307">_xlfn.IFS(
    AND(C307&gt;C$535,D307&lt;D$535),1,
    AND(C307&gt;C$535,D307&gt;D$535),2,
    AND(C307&lt;C$535,D307&lt;D$535),4,
    AND(C307&lt;C$535,D307&gt;D$535),3,
    TRUE,""
)</f>
        <v>1</v>
      </c>
      <c r="H307" s="5"/>
      <c r="I307" s="5"/>
    </row>
    <row r="308" spans="1:9" x14ac:dyDescent="0.35">
      <c r="A308" s="1" t="s">
        <v>380</v>
      </c>
      <c r="B308" s="2">
        <v>76.673000000000002</v>
      </c>
      <c r="C308" s="2">
        <v>220.363</v>
      </c>
      <c r="D308" s="5">
        <f>+VLOOKUP(A308,Sheet6!A:D,4,0)</f>
        <v>0.19020501138952164</v>
      </c>
      <c r="E308" s="5">
        <f t="shared" si="4"/>
        <v>1.4583588838268794E-2</v>
      </c>
      <c r="F308" s="5" cm="1">
        <f t="array" ref="F308">_xlfn.IFS(
    AND(C308&gt;C$535,D308&lt;D$535),1,
    AND(C308&gt;C$535,D308&gt;D$535),2,
    AND(C308&lt;C$535,D308&lt;D$535),4,
    AND(C308&lt;C$535,D308&gt;D$535),3,
    TRUE,""
)</f>
        <v>4</v>
      </c>
      <c r="H308" s="5"/>
      <c r="I308" s="5"/>
    </row>
    <row r="309" spans="1:9" ht="29" x14ac:dyDescent="0.35">
      <c r="A309" s="1" t="s">
        <v>60</v>
      </c>
      <c r="B309" s="1">
        <v>1.9140000000000001E-2</v>
      </c>
      <c r="C309" s="2">
        <v>313.42700000000002</v>
      </c>
      <c r="D309" s="5">
        <f>+VLOOKUP(A309,Sheet6!A:D,4,0)</f>
        <v>0.30535714285714288</v>
      </c>
      <c r="E309" s="5">
        <f t="shared" si="4"/>
        <v>5.8445357142857155E-6</v>
      </c>
      <c r="F309" s="5" cm="1">
        <f t="array" ref="F309">_xlfn.IFS(
    AND(C309&gt;C$535,D309&lt;D$535),1,
    AND(C309&gt;C$535,D309&gt;D$535),2,
    AND(C309&lt;C$535,D309&lt;D$535),4,
    AND(C309&lt;C$535,D309&gt;D$535),3,
    TRUE,""
)</f>
        <v>2</v>
      </c>
      <c r="H309" s="5"/>
      <c r="I309" s="5"/>
    </row>
    <row r="310" spans="1:9" x14ac:dyDescent="0.35">
      <c r="A310" s="1" t="s">
        <v>381</v>
      </c>
      <c r="B310" s="2">
        <v>17.231000000000002</v>
      </c>
      <c r="C310" s="2">
        <v>272.01100000000002</v>
      </c>
      <c r="D310" s="5">
        <f>+VLOOKUP(A310,Sheet6!A:D,4,0)</f>
        <v>0.44164037854889587</v>
      </c>
      <c r="E310" s="5">
        <f t="shared" si="4"/>
        <v>7.6099053627760255E-3</v>
      </c>
      <c r="F310" s="5" cm="1">
        <f t="array" ref="F310">_xlfn.IFS(
    AND(C310&gt;C$535,D310&lt;D$535),1,
    AND(C310&gt;C$535,D310&gt;D$535),2,
    AND(C310&lt;C$535,D310&lt;D$535),4,
    AND(C310&lt;C$535,D310&gt;D$535),3,
    TRUE,""
)</f>
        <v>2</v>
      </c>
      <c r="H310" s="5"/>
      <c r="I310" s="5"/>
    </row>
    <row r="311" spans="1:9" x14ac:dyDescent="0.35">
      <c r="A311" s="1" t="s">
        <v>59</v>
      </c>
      <c r="B311" s="2">
        <v>23.231999999999999</v>
      </c>
      <c r="C311" s="2">
        <v>277.46300000000002</v>
      </c>
      <c r="D311" s="5">
        <f>+VLOOKUP(A311,Sheet6!A:D,4,0)</f>
        <v>0.19917012448132779</v>
      </c>
      <c r="E311" s="5">
        <f t="shared" si="4"/>
        <v>4.6271203319502071E-3</v>
      </c>
      <c r="F311" s="5" cm="1">
        <f t="array" ref="F311">_xlfn.IFS(
    AND(C311&gt;C$535,D311&lt;D$535),1,
    AND(C311&gt;C$535,D311&gt;D$535),2,
    AND(C311&lt;C$535,D311&lt;D$535),4,
    AND(C311&lt;C$535,D311&gt;D$535),3,
    TRUE,""
)</f>
        <v>1</v>
      </c>
      <c r="H311" s="5"/>
      <c r="I311" s="5"/>
    </row>
    <row r="312" spans="1:9" x14ac:dyDescent="0.35">
      <c r="A312" s="1" t="s">
        <v>58</v>
      </c>
      <c r="B312" s="2">
        <v>38.743000000000002</v>
      </c>
      <c r="C312" s="2">
        <v>276.024</v>
      </c>
      <c r="D312" s="5">
        <f>+VLOOKUP(A312,Sheet6!A:D,4,0)</f>
        <v>0.2729439809296782</v>
      </c>
      <c r="E312" s="5">
        <f t="shared" si="4"/>
        <v>1.0574668653158524E-2</v>
      </c>
      <c r="F312" s="5" cm="1">
        <f t="array" ref="F312">_xlfn.IFS(
    AND(C312&gt;C$535,D312&lt;D$535),1,
    AND(C312&gt;C$535,D312&gt;D$535),2,
    AND(C312&lt;C$535,D312&lt;D$535),4,
    AND(C312&lt;C$535,D312&gt;D$535),3,
    TRUE,""
)</f>
        <v>2</v>
      </c>
      <c r="H312" s="5"/>
      <c r="I312" s="5"/>
    </row>
    <row r="313" spans="1:9" x14ac:dyDescent="0.35">
      <c r="A313" s="1" t="s">
        <v>382</v>
      </c>
      <c r="B313" s="2">
        <v>2.6520000000000001</v>
      </c>
      <c r="C313" s="2">
        <v>196.83699999999999</v>
      </c>
      <c r="D313" s="5">
        <f>+VLOOKUP(A313,Sheet6!A:D,4,0)</f>
        <v>0.3968253968253968</v>
      </c>
      <c r="E313" s="5">
        <f t="shared" si="4"/>
        <v>1.0523809523809524E-3</v>
      </c>
      <c r="F313" s="5" cm="1">
        <f t="array" ref="F313">_xlfn.IFS(
    AND(C313&gt;C$535,D313&lt;D$535),1,
    AND(C313&gt;C$535,D313&gt;D$535),2,
    AND(C313&lt;C$535,D313&lt;D$535),4,
    AND(C313&lt;C$535,D313&gt;D$535),3,
    TRUE,""
)</f>
        <v>3</v>
      </c>
      <c r="H313" s="5"/>
      <c r="I313" s="5"/>
    </row>
    <row r="314" spans="1:9" x14ac:dyDescent="0.35">
      <c r="A314" s="1" t="s">
        <v>383</v>
      </c>
      <c r="B314" s="2">
        <v>7.1280000000000001</v>
      </c>
      <c r="C314" s="1">
        <v>0.13116999999999998</v>
      </c>
      <c r="D314" s="5">
        <f>+VLOOKUP(A314,Sheet6!A:D,4,0)</f>
        <v>0.65868263473053901</v>
      </c>
      <c r="E314" s="5">
        <f t="shared" si="4"/>
        <v>4.6950898203592818E-3</v>
      </c>
      <c r="F314" s="5" cm="1">
        <f t="array" ref="F314">_xlfn.IFS(
    AND(C314&gt;C$535,D314&lt;D$535),1,
    AND(C314&gt;C$535,D314&gt;D$535),2,
    AND(C314&lt;C$535,D314&lt;D$535),4,
    AND(C314&lt;C$535,D314&gt;D$535),3,
    TRUE,""
)</f>
        <v>3</v>
      </c>
      <c r="H314" s="5"/>
      <c r="I314" s="5"/>
    </row>
    <row r="315" spans="1:9" ht="29" x14ac:dyDescent="0.35">
      <c r="A315" s="1" t="s">
        <v>57</v>
      </c>
      <c r="B315" s="2">
        <v>7.008</v>
      </c>
      <c r="C315" s="2">
        <v>590.20699999999999</v>
      </c>
      <c r="D315" s="5">
        <f>+VLOOKUP(A315,Sheet6!A:D,4,0)</f>
        <v>0.22043010752688169</v>
      </c>
      <c r="E315" s="5">
        <f t="shared" si="4"/>
        <v>1.544774193548387E-3</v>
      </c>
      <c r="F315" s="5" cm="1">
        <f t="array" ref="F315">_xlfn.IFS(
    AND(C315&gt;C$535,D315&lt;D$535),1,
    AND(C315&gt;C$535,D315&gt;D$535),2,
    AND(C315&lt;C$535,D315&lt;D$535),4,
    AND(C315&lt;C$535,D315&gt;D$535),3,
    TRUE,""
)</f>
        <v>1</v>
      </c>
      <c r="H315" s="5"/>
      <c r="I315" s="5"/>
    </row>
    <row r="316" spans="1:9" ht="29" x14ac:dyDescent="0.35">
      <c r="A316" s="1" t="s">
        <v>384</v>
      </c>
      <c r="B316" s="2">
        <v>7.1390000000000002</v>
      </c>
      <c r="C316" s="2">
        <v>162.19800000000001</v>
      </c>
      <c r="D316" s="5">
        <f>+VLOOKUP(A316,Sheet6!A:D,4,0)</f>
        <v>0.45859872611464964</v>
      </c>
      <c r="E316" s="5">
        <f t="shared" si="4"/>
        <v>3.2739363057324839E-3</v>
      </c>
      <c r="F316" s="5" cm="1">
        <f t="array" ref="F316">_xlfn.IFS(
    AND(C316&gt;C$535,D316&lt;D$535),1,
    AND(C316&gt;C$535,D316&gt;D$535),2,
    AND(C316&lt;C$535,D316&lt;D$535),4,
    AND(C316&lt;C$535,D316&gt;D$535),3,
    TRUE,""
)</f>
        <v>3</v>
      </c>
      <c r="H316" s="5"/>
      <c r="I316" s="5"/>
    </row>
    <row r="317" spans="1:9" x14ac:dyDescent="0.35">
      <c r="A317" s="1" t="s">
        <v>56</v>
      </c>
      <c r="B317" s="2">
        <v>14.581</v>
      </c>
      <c r="C317" s="2">
        <v>307.72399999999999</v>
      </c>
      <c r="D317" s="5">
        <f>+VLOOKUP(A317,Sheet6!A:D,4,0)</f>
        <v>0.28510638297872343</v>
      </c>
      <c r="E317" s="5">
        <f t="shared" si="4"/>
        <v>4.1571361702127663E-3</v>
      </c>
      <c r="F317" s="5" cm="1">
        <f t="array" ref="F317">_xlfn.IFS(
    AND(C317&gt;C$535,D317&lt;D$535),1,
    AND(C317&gt;C$535,D317&gt;D$535),2,
    AND(C317&lt;C$535,D317&lt;D$535),4,
    AND(C317&lt;C$535,D317&gt;D$535),3,
    TRUE,""
)</f>
        <v>2</v>
      </c>
      <c r="H317" s="5"/>
      <c r="I317" s="5"/>
    </row>
    <row r="318" spans="1:9" x14ac:dyDescent="0.35">
      <c r="A318" s="1" t="s">
        <v>385</v>
      </c>
      <c r="B318" s="2">
        <v>44.363999999999997</v>
      </c>
      <c r="C318" s="2">
        <v>281.44299999999998</v>
      </c>
      <c r="D318" s="5">
        <f>+VLOOKUP(A318,Sheet6!A:D,4,0)</f>
        <v>0.17131979695431473</v>
      </c>
      <c r="E318" s="5">
        <f t="shared" si="4"/>
        <v>7.6004314720812182E-3</v>
      </c>
      <c r="F318" s="5" cm="1">
        <f t="array" ref="F318">_xlfn.IFS(
    AND(C318&gt;C$535,D318&lt;D$535),1,
    AND(C318&gt;C$535,D318&gt;D$535),2,
    AND(C318&lt;C$535,D318&lt;D$535),4,
    AND(C318&lt;C$535,D318&gt;D$535),3,
    TRUE,""
)</f>
        <v>1</v>
      </c>
      <c r="H318" s="5"/>
      <c r="I318" s="5"/>
    </row>
    <row r="319" spans="1:9" x14ac:dyDescent="0.35">
      <c r="A319" s="1" t="s">
        <v>55</v>
      </c>
      <c r="B319" s="2">
        <v>6.5910000000000002</v>
      </c>
      <c r="C319" s="2">
        <v>365.81299999999999</v>
      </c>
      <c r="D319" s="5">
        <f>+VLOOKUP(A319,Sheet6!A:D,4,0)</f>
        <v>0.15079365079365079</v>
      </c>
      <c r="E319" s="5">
        <f t="shared" si="4"/>
        <v>9.9388095238095225E-4</v>
      </c>
      <c r="F319" s="5" cm="1">
        <f t="array" ref="F319">_xlfn.IFS(
    AND(C319&gt;C$535,D319&lt;D$535),1,
    AND(C319&gt;C$535,D319&gt;D$535),2,
    AND(C319&lt;C$535,D319&lt;D$535),4,
    AND(C319&lt;C$535,D319&gt;D$535),3,
    TRUE,""
)</f>
        <v>1</v>
      </c>
      <c r="H319" s="5"/>
      <c r="I319" s="5"/>
    </row>
    <row r="320" spans="1:9" x14ac:dyDescent="0.35">
      <c r="A320" s="1" t="s">
        <v>54</v>
      </c>
      <c r="B320" s="2">
        <v>23.178000000000001</v>
      </c>
      <c r="C320" s="1">
        <v>0.33695999999999998</v>
      </c>
      <c r="D320" s="5">
        <f>+VLOOKUP(A320,Sheet6!A:D,4,0)</f>
        <v>0.48283752860411894</v>
      </c>
      <c r="E320" s="5">
        <f t="shared" si="4"/>
        <v>1.1191208237986269E-2</v>
      </c>
      <c r="F320" s="5" cm="1">
        <f t="array" ref="F320">_xlfn.IFS(
    AND(C320&gt;C$535,D320&lt;D$535),1,
    AND(C320&gt;C$535,D320&gt;D$535),2,
    AND(C320&lt;C$535,D320&lt;D$535),4,
    AND(C320&lt;C$535,D320&gt;D$535),3,
    TRUE,""
)</f>
        <v>3</v>
      </c>
      <c r="H320" s="5"/>
      <c r="I320" s="5"/>
    </row>
    <row r="321" spans="1:9" x14ac:dyDescent="0.35">
      <c r="A321" s="1" t="s">
        <v>386</v>
      </c>
      <c r="B321" s="2">
        <v>67.606999999999999</v>
      </c>
      <c r="C321" s="2">
        <v>258.71699999999998</v>
      </c>
      <c r="D321" s="5">
        <f>+VLOOKUP(A321,Sheet6!A:D,4,0)</f>
        <v>0.19383521043272078</v>
      </c>
      <c r="E321" s="5">
        <f t="shared" si="4"/>
        <v>1.3104617071724955E-2</v>
      </c>
      <c r="F321" s="5" cm="1">
        <f t="array" ref="F321">_xlfn.IFS(
    AND(C321&gt;C$535,D321&lt;D$535),1,
    AND(C321&gt;C$535,D321&gt;D$535),2,
    AND(C321&lt;C$535,D321&lt;D$535),4,
    AND(C321&lt;C$535,D321&gt;D$535),3,
    TRUE,""
)</f>
        <v>1</v>
      </c>
      <c r="H321" s="5"/>
      <c r="I321" s="5"/>
    </row>
    <row r="322" spans="1:9" x14ac:dyDescent="0.35">
      <c r="A322" s="1" t="s">
        <v>387</v>
      </c>
      <c r="B322" s="2">
        <v>10.022</v>
      </c>
      <c r="C322" s="2">
        <v>154.256</v>
      </c>
      <c r="D322" s="5">
        <f>+VLOOKUP(A322,Sheet6!A:D,4,0)</f>
        <v>0.34666666666666668</v>
      </c>
      <c r="E322" s="5">
        <f t="shared" ref="E322:E385" si="5">(B322*D322)/1000</f>
        <v>3.4742933333333339E-3</v>
      </c>
      <c r="F322" s="5" cm="1">
        <f t="array" ref="F322">_xlfn.IFS(
    AND(C322&gt;C$535,D322&lt;D$535),1,
    AND(C322&gt;C$535,D322&gt;D$535),2,
    AND(C322&lt;C$535,D322&lt;D$535),4,
    AND(C322&lt;C$535,D322&gt;D$535),3,
    TRUE,""
)</f>
        <v>3</v>
      </c>
      <c r="H322" s="5"/>
      <c r="I322" s="5"/>
    </row>
    <row r="323" spans="1:9" x14ac:dyDescent="0.35">
      <c r="A323" s="1" t="s">
        <v>53</v>
      </c>
      <c r="B323" s="2">
        <v>7.7549999999999999</v>
      </c>
      <c r="C323" s="2">
        <v>428.11500000000001</v>
      </c>
      <c r="D323" s="5">
        <f>+VLOOKUP(A323,Sheet6!A:D,4,0)</f>
        <v>0.10455764075067024</v>
      </c>
      <c r="E323" s="5">
        <f t="shared" si="5"/>
        <v>8.1084450402144775E-4</v>
      </c>
      <c r="F323" s="5" cm="1">
        <f t="array" ref="F323">_xlfn.IFS(
    AND(C323&gt;C$535,D323&lt;D$535),1,
    AND(C323&gt;C$535,D323&gt;D$535),2,
    AND(C323&lt;C$535,D323&lt;D$535),4,
    AND(C323&lt;C$535,D323&gt;D$535),3,
    TRUE,""
)</f>
        <v>1</v>
      </c>
      <c r="H323" s="5"/>
      <c r="I323" s="5"/>
    </row>
    <row r="324" spans="1:9" x14ac:dyDescent="0.35">
      <c r="A324" s="1" t="s">
        <v>52</v>
      </c>
      <c r="B324" s="2">
        <v>16.033000000000001</v>
      </c>
      <c r="C324" s="2">
        <v>220.55099999999999</v>
      </c>
      <c r="D324" s="5">
        <f>+VLOOKUP(A324,Sheet6!A:D,4,0)</f>
        <v>0</v>
      </c>
      <c r="E324" s="5">
        <f t="shared" si="5"/>
        <v>0</v>
      </c>
      <c r="F324" s="5" cm="1">
        <f t="array" ref="F324">_xlfn.IFS(
    AND(C324&gt;C$535,D324&lt;D$535),1,
    AND(C324&gt;C$535,D324&gt;D$535),2,
    AND(C324&lt;C$535,D324&lt;D$535),4,
    AND(C324&lt;C$535,D324&gt;D$535),3,
    TRUE,""
)</f>
        <v>4</v>
      </c>
      <c r="H324" s="5"/>
      <c r="I324" s="5"/>
    </row>
    <row r="325" spans="1:9" x14ac:dyDescent="0.35">
      <c r="A325" s="1" t="s">
        <v>388</v>
      </c>
      <c r="B325" s="2">
        <v>2.6890000000000001</v>
      </c>
      <c r="C325" s="2">
        <v>121.96299999999999</v>
      </c>
      <c r="D325" s="5">
        <f>+VLOOKUP(A325,Sheet6!A:D,4,0)</f>
        <v>0.55384615384615377</v>
      </c>
      <c r="E325" s="5">
        <f t="shared" si="5"/>
        <v>1.4892923076923075E-3</v>
      </c>
      <c r="F325" s="5" cm="1">
        <f t="array" ref="F325">_xlfn.IFS(
    AND(C325&gt;C$535,D325&lt;D$535),1,
    AND(C325&gt;C$535,D325&gt;D$535),2,
    AND(C325&lt;C$535,D325&lt;D$535),4,
    AND(C325&lt;C$535,D325&gt;D$535),3,
    TRUE,""
)</f>
        <v>3</v>
      </c>
      <c r="H325" s="5"/>
      <c r="I325" s="5"/>
    </row>
    <row r="326" spans="1:9" x14ac:dyDescent="0.35">
      <c r="A326" s="1" t="s">
        <v>389</v>
      </c>
      <c r="B326" s="2">
        <v>5.4169999999999998</v>
      </c>
      <c r="C326" s="2">
        <v>165.40299999999999</v>
      </c>
      <c r="D326" s="5">
        <f>+VLOOKUP(A326,Sheet6!A:D,4,0)</f>
        <v>9.8360655737704916E-2</v>
      </c>
      <c r="E326" s="5">
        <f t="shared" si="5"/>
        <v>5.3281967213114753E-4</v>
      </c>
      <c r="F326" s="5" cm="1">
        <f t="array" ref="F326">_xlfn.IFS(
    AND(C326&gt;C$535,D326&lt;D$535),1,
    AND(C326&gt;C$535,D326&gt;D$535),2,
    AND(C326&lt;C$535,D326&lt;D$535),4,
    AND(C326&lt;C$535,D326&gt;D$535),3,
    TRUE,""
)</f>
        <v>4</v>
      </c>
      <c r="H326" s="5"/>
      <c r="I326" s="5"/>
    </row>
    <row r="327" spans="1:9" x14ac:dyDescent="0.35">
      <c r="A327" s="1" t="s">
        <v>390</v>
      </c>
      <c r="B327" s="2">
        <v>18.539000000000001</v>
      </c>
      <c r="C327" s="2">
        <v>310.488</v>
      </c>
      <c r="D327" s="5">
        <f>+VLOOKUP(A327,Sheet6!A:D,4,0)</f>
        <v>0.15567282321899736</v>
      </c>
      <c r="E327" s="5">
        <f t="shared" si="5"/>
        <v>2.8860184696569923E-3</v>
      </c>
      <c r="F327" s="5" cm="1">
        <f t="array" ref="F327">_xlfn.IFS(
    AND(C327&gt;C$535,D327&lt;D$535),1,
    AND(C327&gt;C$535,D327&gt;D$535),2,
    AND(C327&lt;C$535,D327&lt;D$535),4,
    AND(C327&lt;C$535,D327&gt;D$535),3,
    TRUE,""
)</f>
        <v>1</v>
      </c>
      <c r="H327" s="5"/>
      <c r="I327" s="5"/>
    </row>
    <row r="328" spans="1:9" ht="29" x14ac:dyDescent="0.35">
      <c r="A328" s="1" t="s">
        <v>51</v>
      </c>
      <c r="B328" s="2">
        <v>29.145</v>
      </c>
      <c r="C328" s="2">
        <v>332.30900000000003</v>
      </c>
      <c r="D328" s="5">
        <f>+VLOOKUP(A328,Sheet6!A:D,4,0)</f>
        <v>0.26266416510318946</v>
      </c>
      <c r="E328" s="5">
        <f t="shared" si="5"/>
        <v>7.6553470919324572E-3</v>
      </c>
      <c r="F328" s="5" cm="1">
        <f t="array" ref="F328">_xlfn.IFS(
    AND(C328&gt;C$535,D328&lt;D$535),1,
    AND(C328&gt;C$535,D328&gt;D$535),2,
    AND(C328&lt;C$535,D328&lt;D$535),4,
    AND(C328&lt;C$535,D328&gt;D$535),3,
    TRUE,""
)</f>
        <v>2</v>
      </c>
      <c r="H328" s="5"/>
      <c r="I328" s="5"/>
    </row>
    <row r="329" spans="1:9" ht="29" x14ac:dyDescent="0.35">
      <c r="A329" s="1" t="s">
        <v>391</v>
      </c>
      <c r="B329" s="2">
        <v>3.6930000000000001</v>
      </c>
      <c r="C329" s="2">
        <v>222.57599999999999</v>
      </c>
      <c r="D329" s="5">
        <f>+VLOOKUP(A329,Sheet6!A:D,4,0)</f>
        <v>0</v>
      </c>
      <c r="E329" s="5">
        <f t="shared" si="5"/>
        <v>0</v>
      </c>
      <c r="F329" s="5" cm="1">
        <f t="array" ref="F329">_xlfn.IFS(
    AND(C329&gt;C$535,D329&lt;D$535),1,
    AND(C329&gt;C$535,D329&gt;D$535),2,
    AND(C329&lt;C$535,D329&lt;D$535),4,
    AND(C329&lt;C$535,D329&gt;D$535),3,
    TRUE,""
)</f>
        <v>4</v>
      </c>
      <c r="H329" s="5"/>
      <c r="I329" s="5"/>
    </row>
    <row r="330" spans="1:9" x14ac:dyDescent="0.35">
      <c r="A330" s="1" t="s">
        <v>392</v>
      </c>
      <c r="B330" s="2">
        <v>2.548</v>
      </c>
      <c r="C330" s="1">
        <v>0.27627999999999997</v>
      </c>
      <c r="D330" s="5">
        <f>+VLOOKUP(A330,Sheet6!A:D,4,0)</f>
        <v>0.17777777777777778</v>
      </c>
      <c r="E330" s="5">
        <f t="shared" si="5"/>
        <v>4.5297777777777781E-4</v>
      </c>
      <c r="F330" s="5" cm="1">
        <f t="array" ref="F330">_xlfn.IFS(
    AND(C330&gt;C$535,D330&lt;D$535),1,
    AND(C330&gt;C$535,D330&gt;D$535),2,
    AND(C330&lt;C$535,D330&lt;D$535),4,
    AND(C330&lt;C$535,D330&gt;D$535),3,
    TRUE,""
)</f>
        <v>4</v>
      </c>
      <c r="H330" s="5"/>
      <c r="I330" s="5"/>
    </row>
    <row r="331" spans="1:9" x14ac:dyDescent="0.35">
      <c r="A331" s="1" t="s">
        <v>393</v>
      </c>
      <c r="B331" s="2">
        <v>12.462</v>
      </c>
      <c r="C331" s="2">
        <v>237.52500000000001</v>
      </c>
      <c r="D331" s="5">
        <f>+VLOOKUP(A331,Sheet6!A:D,4,0)</f>
        <v>0.1086261980830671</v>
      </c>
      <c r="E331" s="5">
        <f t="shared" si="5"/>
        <v>1.3536996805111822E-3</v>
      </c>
      <c r="F331" s="5" cm="1">
        <f t="array" ref="F331">_xlfn.IFS(
    AND(C331&gt;C$535,D331&lt;D$535),1,
    AND(C331&gt;C$535,D331&gt;D$535),2,
    AND(C331&lt;C$535,D331&lt;D$535),4,
    AND(C331&lt;C$535,D331&gt;D$535),3,
    TRUE,""
)</f>
        <v>4</v>
      </c>
      <c r="H331" s="5"/>
      <c r="I331" s="5"/>
    </row>
    <row r="332" spans="1:9" x14ac:dyDescent="0.35">
      <c r="A332" s="1" t="s">
        <v>394</v>
      </c>
      <c r="B332" s="2">
        <v>4.306</v>
      </c>
      <c r="C332" s="2">
        <v>282.87200000000001</v>
      </c>
      <c r="D332" s="5">
        <f>+VLOOKUP(A332,Sheet6!A:D,4,0)</f>
        <v>0.28099173553719009</v>
      </c>
      <c r="E332" s="5">
        <f t="shared" si="5"/>
        <v>1.2099504132231404E-3</v>
      </c>
      <c r="F332" s="5" cm="1">
        <f t="array" ref="F332">_xlfn.IFS(
    AND(C332&gt;C$535,D332&lt;D$535),1,
    AND(C332&gt;C$535,D332&gt;D$535),2,
    AND(C332&lt;C$535,D332&lt;D$535),4,
    AND(C332&lt;C$535,D332&gt;D$535),3,
    TRUE,""
)</f>
        <v>2</v>
      </c>
      <c r="H332" s="5"/>
      <c r="I332" s="5"/>
    </row>
    <row r="333" spans="1:9" ht="29" x14ac:dyDescent="0.35">
      <c r="A333" s="1" t="s">
        <v>395</v>
      </c>
      <c r="B333" s="2">
        <v>7.1609999999999996</v>
      </c>
      <c r="C333" s="2">
        <v>465.97699999999998</v>
      </c>
      <c r="D333" s="5">
        <f>+VLOOKUP(A333,Sheet6!A:D,4,0)</f>
        <v>0.287292817679558</v>
      </c>
      <c r="E333" s="5">
        <f t="shared" si="5"/>
        <v>2.0573038674033144E-3</v>
      </c>
      <c r="F333" s="5" cm="1">
        <f t="array" ref="F333">_xlfn.IFS(
    AND(C333&gt;C$535,D333&lt;D$535),1,
    AND(C333&gt;C$535,D333&gt;D$535),2,
    AND(C333&lt;C$535,D333&lt;D$535),4,
    AND(C333&lt;C$535,D333&gt;D$535),3,
    TRUE,""
)</f>
        <v>2</v>
      </c>
      <c r="H333" s="5"/>
      <c r="I333" s="5"/>
    </row>
    <row r="334" spans="1:9" x14ac:dyDescent="0.35">
      <c r="A334" s="1" t="s">
        <v>396</v>
      </c>
      <c r="B334" s="2">
        <v>65.228999999999999</v>
      </c>
      <c r="C334" s="2">
        <v>260.63499999999999</v>
      </c>
      <c r="D334" s="5">
        <f>+VLOOKUP(A334,Sheet6!A:D,4,0)</f>
        <v>0.1777509068923821</v>
      </c>
      <c r="E334" s="5">
        <f t="shared" si="5"/>
        <v>1.1594513905683192E-2</v>
      </c>
      <c r="F334" s="5" cm="1">
        <f t="array" ref="F334">_xlfn.IFS(
    AND(C334&gt;C$535,D334&lt;D$535),1,
    AND(C334&gt;C$535,D334&gt;D$535),2,
    AND(C334&lt;C$535,D334&lt;D$535),4,
    AND(C334&lt;C$535,D334&gt;D$535),3,
    TRUE,""
)</f>
        <v>1</v>
      </c>
      <c r="H334" s="5"/>
      <c r="I334" s="5"/>
    </row>
    <row r="335" spans="1:9" x14ac:dyDescent="0.35">
      <c r="A335" s="1" t="s">
        <v>397</v>
      </c>
      <c r="B335" s="2">
        <v>46.625999999999998</v>
      </c>
      <c r="C335" s="2">
        <v>436.45499999999998</v>
      </c>
      <c r="D335" s="5">
        <f>+VLOOKUP(A335,Sheet6!A:D,4,0)</f>
        <v>0.17009602194787379</v>
      </c>
      <c r="E335" s="5">
        <f t="shared" si="5"/>
        <v>7.9308971193415637E-3</v>
      </c>
      <c r="F335" s="5" cm="1">
        <f t="array" ref="F335">_xlfn.IFS(
    AND(C335&gt;C$535,D335&lt;D$535),1,
    AND(C335&gt;C$535,D335&gt;D$535),2,
    AND(C335&lt;C$535,D335&lt;D$535),4,
    AND(C335&lt;C$535,D335&gt;D$535),3,
    TRUE,""
)</f>
        <v>1</v>
      </c>
      <c r="H335" s="5"/>
      <c r="I335" s="5"/>
    </row>
    <row r="336" spans="1:9" x14ac:dyDescent="0.35">
      <c r="A336" s="1" t="s">
        <v>398</v>
      </c>
      <c r="B336" s="2">
        <v>37.009</v>
      </c>
      <c r="C336" s="1">
        <v>0.29285</v>
      </c>
      <c r="D336" s="5">
        <f>+VLOOKUP(A336,Sheet6!A:D,4,0)</f>
        <v>0.14992503748125938</v>
      </c>
      <c r="E336" s="5">
        <f t="shared" si="5"/>
        <v>5.5485757121439281E-3</v>
      </c>
      <c r="F336" s="5" cm="1">
        <f t="array" ref="F336">_xlfn.IFS(
    AND(C336&gt;C$535,D336&lt;D$535),1,
    AND(C336&gt;C$535,D336&gt;D$535),2,
    AND(C336&lt;C$535,D336&lt;D$535),4,
    AND(C336&lt;C$535,D336&gt;D$535),3,
    TRUE,""
)</f>
        <v>4</v>
      </c>
      <c r="H336" s="5"/>
      <c r="I336" s="5"/>
    </row>
    <row r="337" spans="1:9" x14ac:dyDescent="0.35">
      <c r="A337" s="1" t="s">
        <v>399</v>
      </c>
      <c r="B337" s="2">
        <v>10.036</v>
      </c>
      <c r="C337" s="2">
        <v>194.49100000000001</v>
      </c>
      <c r="D337" s="5">
        <f>+VLOOKUP(A337,Sheet6!A:D,4,0)</f>
        <v>0.2</v>
      </c>
      <c r="E337" s="5">
        <f t="shared" si="5"/>
        <v>2.0072000000000002E-3</v>
      </c>
      <c r="F337" s="5" cm="1">
        <f t="array" ref="F337">_xlfn.IFS(
    AND(C337&gt;C$535,D337&lt;D$535),1,
    AND(C337&gt;C$535,D337&gt;D$535),2,
    AND(C337&lt;C$535,D337&lt;D$535),4,
    AND(C337&lt;C$535,D337&gt;D$535),3,
    TRUE,""
)</f>
        <v>4</v>
      </c>
      <c r="H337" s="5"/>
      <c r="I337" s="5"/>
    </row>
    <row r="338" spans="1:9" x14ac:dyDescent="0.35">
      <c r="A338" s="1" t="s">
        <v>50</v>
      </c>
      <c r="B338" s="2">
        <v>17.367000000000001</v>
      </c>
      <c r="C338" s="2">
        <v>274.42700000000002</v>
      </c>
      <c r="D338" s="5">
        <f>+VLOOKUP(A338,Sheet6!A:D,4,0)</f>
        <v>9.7165991902833995E-2</v>
      </c>
      <c r="E338" s="5">
        <f t="shared" si="5"/>
        <v>1.6874817813765182E-3</v>
      </c>
      <c r="F338" s="5" cm="1">
        <f t="array" ref="F338">_xlfn.IFS(
    AND(C338&gt;C$535,D338&lt;D$535),1,
    AND(C338&gt;C$535,D338&gt;D$535),2,
    AND(C338&lt;C$535,D338&lt;D$535),4,
    AND(C338&lt;C$535,D338&gt;D$535),3,
    TRUE,""
)</f>
        <v>1</v>
      </c>
      <c r="H338" s="5"/>
      <c r="I338" s="5"/>
    </row>
    <row r="339" spans="1:9" x14ac:dyDescent="0.35">
      <c r="A339" s="1" t="s">
        <v>400</v>
      </c>
      <c r="B339" s="2">
        <v>54.177999999999997</v>
      </c>
      <c r="C339" s="2">
        <v>194.93100000000001</v>
      </c>
      <c r="D339" s="5">
        <f>+VLOOKUP(A339,Sheet6!A:D,4,0)</f>
        <v>0.24479889042995837</v>
      </c>
      <c r="E339" s="5">
        <f t="shared" si="5"/>
        <v>1.3262714285714284E-2</v>
      </c>
      <c r="F339" s="5" cm="1">
        <f t="array" ref="F339">_xlfn.IFS(
    AND(C339&gt;C$535,D339&lt;D$535),1,
    AND(C339&gt;C$535,D339&gt;D$535),2,
    AND(C339&lt;C$535,D339&lt;D$535),4,
    AND(C339&lt;C$535,D339&gt;D$535),3,
    TRUE,""
)</f>
        <v>4</v>
      </c>
      <c r="H339" s="5"/>
      <c r="I339" s="5"/>
    </row>
    <row r="340" spans="1:9" ht="29" x14ac:dyDescent="0.35">
      <c r="A340" s="1" t="s">
        <v>401</v>
      </c>
      <c r="B340" s="2">
        <v>5.3369999999999997</v>
      </c>
      <c r="C340" s="2">
        <v>225.798</v>
      </c>
      <c r="D340" s="5">
        <f>+VLOOKUP(A340,Sheet6!A:D,4,0)</f>
        <v>0.26315789473684209</v>
      </c>
      <c r="E340" s="5">
        <f t="shared" si="5"/>
        <v>1.4044736842105262E-3</v>
      </c>
      <c r="F340" s="5" cm="1">
        <f t="array" ref="F340">_xlfn.IFS(
    AND(C340&gt;C$535,D340&lt;D$535),1,
    AND(C340&gt;C$535,D340&gt;D$535),2,
    AND(C340&lt;C$535,D340&lt;D$535),4,
    AND(C340&lt;C$535,D340&gt;D$535),3,
    TRUE,""
)</f>
        <v>3</v>
      </c>
      <c r="H340" s="5"/>
      <c r="I340" s="5"/>
    </row>
    <row r="341" spans="1:9" x14ac:dyDescent="0.35">
      <c r="A341" s="1" t="s">
        <v>402</v>
      </c>
      <c r="B341" s="2">
        <v>58.122</v>
      </c>
      <c r="C341" s="2">
        <v>272.20299999999997</v>
      </c>
      <c r="D341" s="5">
        <f>+VLOOKUP(A341,Sheet6!A:D,4,0)</f>
        <v>0.11120471777590565</v>
      </c>
      <c r="E341" s="5">
        <f t="shared" si="5"/>
        <v>6.4634406065711882E-3</v>
      </c>
      <c r="F341" s="5" cm="1">
        <f t="array" ref="F341">_xlfn.IFS(
    AND(C341&gt;C$535,D341&lt;D$535),1,
    AND(C341&gt;C$535,D341&gt;D$535),2,
    AND(C341&lt;C$535,D341&lt;D$535),4,
    AND(C341&lt;C$535,D341&gt;D$535),3,
    TRUE,""
)</f>
        <v>1</v>
      </c>
      <c r="H341" s="5"/>
      <c r="I341" s="5"/>
    </row>
    <row r="342" spans="1:9" ht="29" x14ac:dyDescent="0.35">
      <c r="A342" s="1" t="s">
        <v>403</v>
      </c>
      <c r="B342" s="2">
        <v>3.9580000000000002</v>
      </c>
      <c r="C342" s="2">
        <v>331.00400000000002</v>
      </c>
      <c r="D342" s="5">
        <f>+VLOOKUP(A342,Sheet6!A:D,4,0)</f>
        <v>0.16666666666666669</v>
      </c>
      <c r="E342" s="5">
        <f t="shared" si="5"/>
        <v>6.5966666666666669E-4</v>
      </c>
      <c r="F342" s="5" cm="1">
        <f t="array" ref="F342">_xlfn.IFS(
    AND(C342&gt;C$535,D342&lt;D$535),1,
    AND(C342&gt;C$535,D342&gt;D$535),2,
    AND(C342&lt;C$535,D342&lt;D$535),4,
    AND(C342&lt;C$535,D342&gt;D$535),3,
    TRUE,""
)</f>
        <v>1</v>
      </c>
      <c r="H342" s="5"/>
      <c r="I342" s="5"/>
    </row>
    <row r="343" spans="1:9" ht="29" x14ac:dyDescent="0.35">
      <c r="A343" s="1" t="s">
        <v>404</v>
      </c>
      <c r="B343" s="2">
        <v>9.9329999999999998</v>
      </c>
      <c r="C343" s="2">
        <v>130.47399999999999</v>
      </c>
      <c r="D343" s="5">
        <f>+VLOOKUP(A343,Sheet6!A:D,4,0)</f>
        <v>0.32577903682719545</v>
      </c>
      <c r="E343" s="5">
        <f t="shared" si="5"/>
        <v>3.2359631728045325E-3</v>
      </c>
      <c r="F343" s="5" cm="1">
        <f t="array" ref="F343">_xlfn.IFS(
    AND(C343&gt;C$535,D343&lt;D$535),1,
    AND(C343&gt;C$535,D343&gt;D$535),2,
    AND(C343&lt;C$535,D343&lt;D$535),4,
    AND(C343&lt;C$535,D343&gt;D$535),3,
    TRUE,""
)</f>
        <v>3</v>
      </c>
      <c r="H343" s="5"/>
      <c r="I343" s="5"/>
    </row>
    <row r="344" spans="1:9" ht="29" x14ac:dyDescent="0.35">
      <c r="A344" s="1" t="s">
        <v>405</v>
      </c>
      <c r="B344" s="2">
        <v>62.637</v>
      </c>
      <c r="C344" s="1">
        <v>0.25008999999999998</v>
      </c>
      <c r="D344" s="5">
        <f>+VLOOKUP(A344,Sheet6!A:D,4,0)</f>
        <v>0.30182529335071706</v>
      </c>
      <c r="E344" s="5">
        <f t="shared" si="5"/>
        <v>1.8905430899608864E-2</v>
      </c>
      <c r="F344" s="5" cm="1">
        <f t="array" ref="F344">_xlfn.IFS(
    AND(C344&gt;C$535,D344&lt;D$535),1,
    AND(C344&gt;C$535,D344&gt;D$535),2,
    AND(C344&lt;C$535,D344&lt;D$535),4,
    AND(C344&lt;C$535,D344&gt;D$535),3,
    TRUE,""
)</f>
        <v>3</v>
      </c>
      <c r="H344" s="5"/>
      <c r="I344" s="5"/>
    </row>
    <row r="345" spans="1:9" x14ac:dyDescent="0.35">
      <c r="A345" s="1" t="s">
        <v>406</v>
      </c>
      <c r="B345" s="1">
        <v>3.5770000000000003E-2</v>
      </c>
      <c r="C345" s="2">
        <v>302.88299999999998</v>
      </c>
      <c r="D345" s="5">
        <f>+VLOOKUP(A345,Sheet6!A:D,4,0)</f>
        <v>0.3353437876960193</v>
      </c>
      <c r="E345" s="5">
        <f t="shared" si="5"/>
        <v>1.1995247285886612E-5</v>
      </c>
      <c r="F345" s="5" cm="1">
        <f t="array" ref="F345">_xlfn.IFS(
    AND(C345&gt;C$535,D345&lt;D$535),1,
    AND(C345&gt;C$535,D345&gt;D$535),2,
    AND(C345&lt;C$535,D345&lt;D$535),4,
    AND(C345&lt;C$535,D345&gt;D$535),3,
    TRUE,""
)</f>
        <v>2</v>
      </c>
      <c r="H345" s="5"/>
      <c r="I345" s="5"/>
    </row>
    <row r="346" spans="1:9" x14ac:dyDescent="0.35">
      <c r="A346" s="1" t="s">
        <v>407</v>
      </c>
      <c r="B346" s="2">
        <v>4.1520000000000001</v>
      </c>
      <c r="C346" s="2">
        <v>169.31700000000001</v>
      </c>
      <c r="D346" s="5">
        <f>+VLOOKUP(A346,Sheet6!A:D,4,0)</f>
        <v>0.84040404040404038</v>
      </c>
      <c r="E346" s="5">
        <f t="shared" si="5"/>
        <v>3.489357575757576E-3</v>
      </c>
      <c r="F346" s="5" cm="1">
        <f t="array" ref="F346">_xlfn.IFS(
    AND(C346&gt;C$535,D346&lt;D$535),1,
    AND(C346&gt;C$535,D346&gt;D$535),2,
    AND(C346&lt;C$535,D346&lt;D$535),4,
    AND(C346&lt;C$535,D346&gt;D$535),3,
    TRUE,""
)</f>
        <v>3</v>
      </c>
      <c r="H346" s="5"/>
      <c r="I346" s="5"/>
    </row>
    <row r="347" spans="1:9" ht="29" x14ac:dyDescent="0.35">
      <c r="A347" s="1" t="s">
        <v>408</v>
      </c>
      <c r="B347" s="2">
        <v>79.099000000000004</v>
      </c>
      <c r="C347" s="1">
        <v>0.25458000000000003</v>
      </c>
      <c r="D347" s="5">
        <f>+VLOOKUP(A347,Sheet6!A:D,4,0)</f>
        <v>0.22784810126582278</v>
      </c>
      <c r="E347" s="5">
        <f t="shared" si="5"/>
        <v>1.8022556962025316E-2</v>
      </c>
      <c r="F347" s="5" cm="1">
        <f t="array" ref="F347">_xlfn.IFS(
    AND(C347&gt;C$535,D347&lt;D$535),1,
    AND(C347&gt;C$535,D347&gt;D$535),2,
    AND(C347&lt;C$535,D347&lt;D$535),4,
    AND(C347&lt;C$535,D347&gt;D$535),3,
    TRUE,""
)</f>
        <v>4</v>
      </c>
      <c r="H347" s="5"/>
      <c r="I347" s="5"/>
    </row>
    <row r="348" spans="1:9" x14ac:dyDescent="0.35">
      <c r="A348" s="1" t="s">
        <v>409</v>
      </c>
      <c r="B348" s="2">
        <v>16.233000000000001</v>
      </c>
      <c r="C348" s="2">
        <v>232.922</v>
      </c>
      <c r="D348" s="5">
        <f>+VLOOKUP(A348,Sheet6!A:D,4,0)</f>
        <v>0.11333333333333334</v>
      </c>
      <c r="E348" s="5">
        <f t="shared" si="5"/>
        <v>1.8397400000000001E-3</v>
      </c>
      <c r="F348" s="5" cm="1">
        <f t="array" ref="F348">_xlfn.IFS(
    AND(C348&gt;C$535,D348&lt;D$535),1,
    AND(C348&gt;C$535,D348&gt;D$535),2,
    AND(C348&lt;C$535,D348&lt;D$535),4,
    AND(C348&lt;C$535,D348&gt;D$535),3,
    TRUE,""
)</f>
        <v>4</v>
      </c>
      <c r="H348" s="5"/>
      <c r="I348" s="5"/>
    </row>
    <row r="349" spans="1:9" x14ac:dyDescent="0.35">
      <c r="A349" s="1" t="s">
        <v>49</v>
      </c>
      <c r="B349" s="2">
        <v>6.1210000000000004</v>
      </c>
      <c r="C349" s="2">
        <v>367.58199999999999</v>
      </c>
      <c r="D349" s="5">
        <f>+VLOOKUP(A349,Sheet6!A:D,4,0)</f>
        <v>0</v>
      </c>
      <c r="E349" s="5">
        <f t="shared" si="5"/>
        <v>0</v>
      </c>
      <c r="F349" s="5" cm="1">
        <f t="array" ref="F349">_xlfn.IFS(
    AND(C349&gt;C$535,D349&lt;D$535),1,
    AND(C349&gt;C$535,D349&gt;D$535),2,
    AND(C349&lt;C$535,D349&lt;D$535),4,
    AND(C349&lt;C$535,D349&gt;D$535),3,
    TRUE,""
)</f>
        <v>1</v>
      </c>
      <c r="H349" s="5"/>
      <c r="I349" s="5"/>
    </row>
    <row r="350" spans="1:9" x14ac:dyDescent="0.35">
      <c r="A350" s="1" t="s">
        <v>410</v>
      </c>
      <c r="B350" s="2">
        <v>6.7290000000000001</v>
      </c>
      <c r="C350" s="2">
        <v>157.22800000000001</v>
      </c>
      <c r="D350" s="5">
        <f>+VLOOKUP(A350,Sheet6!A:D,4,0)</f>
        <v>0.19678714859437749</v>
      </c>
      <c r="E350" s="5">
        <f t="shared" si="5"/>
        <v>1.3241807228915662E-3</v>
      </c>
      <c r="F350" s="5" cm="1">
        <f t="array" ref="F350">_xlfn.IFS(
    AND(C350&gt;C$535,D350&lt;D$535),1,
    AND(C350&gt;C$535,D350&gt;D$535),2,
    AND(C350&lt;C$535,D350&lt;D$535),4,
    AND(C350&lt;C$535,D350&gt;D$535),3,
    TRUE,""
)</f>
        <v>4</v>
      </c>
      <c r="H350" s="5"/>
      <c r="I350" s="5"/>
    </row>
    <row r="351" spans="1:9" x14ac:dyDescent="0.35">
      <c r="A351" s="1" t="s">
        <v>411</v>
      </c>
      <c r="B351" s="2">
        <v>40.462000000000003</v>
      </c>
      <c r="C351" s="2">
        <v>287.35399999999998</v>
      </c>
      <c r="D351" s="5">
        <f>+VLOOKUP(A351,Sheet6!A:D,4,0)</f>
        <v>0.19918283963227784</v>
      </c>
      <c r="E351" s="5">
        <f t="shared" si="5"/>
        <v>8.0593360572012267E-3</v>
      </c>
      <c r="F351" s="5" cm="1">
        <f t="array" ref="F351">_xlfn.IFS(
    AND(C351&gt;C$535,D351&lt;D$535),1,
    AND(C351&gt;C$535,D351&gt;D$535),2,
    AND(C351&lt;C$535,D351&lt;D$535),4,
    AND(C351&lt;C$535,D351&gt;D$535),3,
    TRUE,""
)</f>
        <v>1</v>
      </c>
      <c r="H351" s="5"/>
      <c r="I351" s="5"/>
    </row>
    <row r="352" spans="1:9" x14ac:dyDescent="0.35">
      <c r="A352" s="1" t="s">
        <v>48</v>
      </c>
      <c r="B352" s="2">
        <v>38.988999999999997</v>
      </c>
      <c r="C352" s="2">
        <v>337.16899999999998</v>
      </c>
      <c r="D352" s="5">
        <f>+VLOOKUP(A352,Sheet6!A:D,4,0)</f>
        <v>0.28222523744911804</v>
      </c>
      <c r="E352" s="5">
        <f t="shared" si="5"/>
        <v>1.1003679782903663E-2</v>
      </c>
      <c r="F352" s="5" cm="1">
        <f t="array" ref="F352">_xlfn.IFS(
    AND(C352&gt;C$535,D352&lt;D$535),1,
    AND(C352&gt;C$535,D352&gt;D$535),2,
    AND(C352&lt;C$535,D352&lt;D$535),4,
    AND(C352&lt;C$535,D352&gt;D$535),3,
    TRUE,""
)</f>
        <v>2</v>
      </c>
      <c r="H352" s="5"/>
      <c r="I352" s="5"/>
    </row>
    <row r="353" spans="1:9" x14ac:dyDescent="0.35">
      <c r="A353" s="1" t="s">
        <v>47</v>
      </c>
      <c r="B353" s="2">
        <v>27.308</v>
      </c>
      <c r="C353" s="2">
        <v>309.73099999999999</v>
      </c>
      <c r="D353" s="5">
        <f>+VLOOKUP(A353,Sheet6!A:D,4,0)</f>
        <v>0.27954971857410882</v>
      </c>
      <c r="E353" s="5">
        <f t="shared" si="5"/>
        <v>7.6339437148217641E-3</v>
      </c>
      <c r="F353" s="5" cm="1">
        <f t="array" ref="F353">_xlfn.IFS(
    AND(C353&gt;C$535,D353&lt;D$535),1,
    AND(C353&gt;C$535,D353&gt;D$535),2,
    AND(C353&lt;C$535,D353&lt;D$535),4,
    AND(C353&lt;C$535,D353&gt;D$535),3,
    TRUE,""
)</f>
        <v>2</v>
      </c>
      <c r="H353" s="5"/>
      <c r="I353" s="5"/>
    </row>
    <row r="354" spans="1:9" ht="29" x14ac:dyDescent="0.35">
      <c r="A354" s="1" t="s">
        <v>412</v>
      </c>
      <c r="B354" s="1">
        <v>2.4300000000000002E-2</v>
      </c>
      <c r="C354" s="2">
        <v>325.846</v>
      </c>
      <c r="D354" s="5">
        <f>+VLOOKUP(A354,Sheet6!A:D,4,0)</f>
        <v>0.10391566265060241</v>
      </c>
      <c r="E354" s="5">
        <f t="shared" si="5"/>
        <v>2.5251506024096388E-6</v>
      </c>
      <c r="F354" s="5" cm="1">
        <f t="array" ref="F354">_xlfn.IFS(
    AND(C354&gt;C$535,D354&lt;D$535),1,
    AND(C354&gt;C$535,D354&gt;D$535),2,
    AND(C354&lt;C$535,D354&lt;D$535),4,
    AND(C354&lt;C$535,D354&gt;D$535),3,
    TRUE,""
)</f>
        <v>1</v>
      </c>
      <c r="H354" s="5"/>
      <c r="I354" s="5"/>
    </row>
    <row r="355" spans="1:9" ht="29" x14ac:dyDescent="0.35">
      <c r="A355" s="1" t="s">
        <v>413</v>
      </c>
      <c r="B355" s="2">
        <v>17.242999999999999</v>
      </c>
      <c r="C355" s="2">
        <v>311.83800000000002</v>
      </c>
      <c r="D355" s="5">
        <f>+VLOOKUP(A355,Sheet6!A:D,4,0)</f>
        <v>0.21040189125295505</v>
      </c>
      <c r="E355" s="5">
        <f t="shared" si="5"/>
        <v>3.6279598108747034E-3</v>
      </c>
      <c r="F355" s="5" cm="1">
        <f t="array" ref="F355">_xlfn.IFS(
    AND(C355&gt;C$535,D355&lt;D$535),1,
    AND(C355&gt;C$535,D355&gt;D$535),2,
    AND(C355&lt;C$535,D355&lt;D$535),4,
    AND(C355&lt;C$535,D355&gt;D$535),3,
    TRUE,""
)</f>
        <v>1</v>
      </c>
      <c r="H355" s="5"/>
      <c r="I355" s="5"/>
    </row>
    <row r="356" spans="1:9" x14ac:dyDescent="0.35">
      <c r="A356" s="1" t="s">
        <v>414</v>
      </c>
      <c r="B356" s="2">
        <v>54.284999999999997</v>
      </c>
      <c r="C356" s="1">
        <v>0.36380000000000001</v>
      </c>
      <c r="D356" s="5">
        <f>+VLOOKUP(A356,Sheet6!A:D,4,0)</f>
        <v>0.18297101449275363</v>
      </c>
      <c r="E356" s="5">
        <f t="shared" si="5"/>
        <v>9.9325815217391304E-3</v>
      </c>
      <c r="F356" s="5" cm="1">
        <f t="array" ref="F356">_xlfn.IFS(
    AND(C356&gt;C$535,D356&lt;D$535),1,
    AND(C356&gt;C$535,D356&gt;D$535),2,
    AND(C356&lt;C$535,D356&lt;D$535),4,
    AND(C356&lt;C$535,D356&gt;D$535),3,
    TRUE,""
)</f>
        <v>4</v>
      </c>
      <c r="H356" s="5"/>
      <c r="I356" s="5"/>
    </row>
    <row r="357" spans="1:9" ht="29" x14ac:dyDescent="0.35">
      <c r="A357" s="1" t="s">
        <v>415</v>
      </c>
      <c r="B357" s="2">
        <v>7.1180000000000003</v>
      </c>
      <c r="C357" s="2">
        <v>164.095</v>
      </c>
      <c r="D357" s="5">
        <f>+VLOOKUP(A357,Sheet6!A:D,4,0)</f>
        <v>0.64338235294117641</v>
      </c>
      <c r="E357" s="5">
        <f t="shared" si="5"/>
        <v>4.5795955882352935E-3</v>
      </c>
      <c r="F357" s="5" cm="1">
        <f t="array" ref="F357">_xlfn.IFS(
    AND(C357&gt;C$535,D357&lt;D$535),1,
    AND(C357&gt;C$535,D357&gt;D$535),2,
    AND(C357&lt;C$535,D357&lt;D$535),4,
    AND(C357&lt;C$535,D357&gt;D$535),3,
    TRUE,""
)</f>
        <v>3</v>
      </c>
      <c r="H357" s="5"/>
      <c r="I357" s="5"/>
    </row>
    <row r="358" spans="1:9" ht="29" x14ac:dyDescent="0.35">
      <c r="A358" s="1" t="s">
        <v>416</v>
      </c>
      <c r="B358" s="2">
        <v>8.6180000000000003</v>
      </c>
      <c r="C358" s="2">
        <v>137.85599999999999</v>
      </c>
      <c r="D358" s="5">
        <f>+VLOOKUP(A358,Sheet6!A:D,4,0)</f>
        <v>0.44444444444444448</v>
      </c>
      <c r="E358" s="5">
        <f t="shared" si="5"/>
        <v>3.8302222222222223E-3</v>
      </c>
      <c r="F358" s="5" cm="1">
        <f t="array" ref="F358">_xlfn.IFS(
    AND(C358&gt;C$535,D358&lt;D$535),1,
    AND(C358&gt;C$535,D358&gt;D$535),2,
    AND(C358&lt;C$535,D358&lt;D$535),4,
    AND(C358&lt;C$535,D358&gt;D$535),3,
    TRUE,""
)</f>
        <v>3</v>
      </c>
      <c r="H358" s="5"/>
      <c r="I358" s="5"/>
    </row>
    <row r="359" spans="1:9" ht="29" x14ac:dyDescent="0.35">
      <c r="A359" s="1" t="s">
        <v>417</v>
      </c>
      <c r="B359" s="2">
        <v>59.686999999999998</v>
      </c>
      <c r="C359" s="2">
        <v>247.05600000000001</v>
      </c>
      <c r="D359" s="5">
        <f>+VLOOKUP(A359,Sheet6!A:D,4,0)</f>
        <v>0.20890099909173476</v>
      </c>
      <c r="E359" s="5">
        <f t="shared" si="5"/>
        <v>1.2468673932788372E-2</v>
      </c>
      <c r="F359" s="5" cm="1">
        <f t="array" ref="F359">_xlfn.IFS(
    AND(C359&gt;C$535,D359&lt;D$535),1,
    AND(C359&gt;C$535,D359&gt;D$535),2,
    AND(C359&lt;C$535,D359&lt;D$535),4,
    AND(C359&lt;C$535,D359&gt;D$535),3,
    TRUE,""
)</f>
        <v>1</v>
      </c>
      <c r="H359" s="5"/>
      <c r="I359" s="5"/>
    </row>
    <row r="360" spans="1:9" ht="29" x14ac:dyDescent="0.35">
      <c r="A360" s="1" t="s">
        <v>46</v>
      </c>
      <c r="B360" s="2">
        <v>7.1689999999999996</v>
      </c>
      <c r="C360" s="2">
        <v>304.38600000000002</v>
      </c>
      <c r="D360" s="5">
        <f>+VLOOKUP(A360,Sheet6!A:D,4,0)</f>
        <v>7.4712643678160925E-2</v>
      </c>
      <c r="E360" s="5">
        <f t="shared" si="5"/>
        <v>5.3561494252873563E-4</v>
      </c>
      <c r="F360" s="5" cm="1">
        <f t="array" ref="F360">_xlfn.IFS(
    AND(C360&gt;C$535,D360&lt;D$535),1,
    AND(C360&gt;C$535,D360&gt;D$535),2,
    AND(C360&lt;C$535,D360&lt;D$535),4,
    AND(C360&lt;C$535,D360&gt;D$535),3,
    TRUE,""
)</f>
        <v>1</v>
      </c>
      <c r="H360" s="5"/>
      <c r="I360" s="5"/>
    </row>
    <row r="361" spans="1:9" x14ac:dyDescent="0.35">
      <c r="A361" s="1" t="s">
        <v>418</v>
      </c>
      <c r="B361" s="2">
        <v>14.503</v>
      </c>
      <c r="C361" s="2">
        <v>277.03899999999999</v>
      </c>
      <c r="D361" s="5">
        <f>+VLOOKUP(A361,Sheet6!A:D,4,0)</f>
        <v>0.10052910052910054</v>
      </c>
      <c r="E361" s="5">
        <f t="shared" si="5"/>
        <v>1.4579735449735452E-3</v>
      </c>
      <c r="F361" s="5" cm="1">
        <f t="array" ref="F361">_xlfn.IFS(
    AND(C361&gt;C$535,D361&lt;D$535),1,
    AND(C361&gt;C$535,D361&gt;D$535),2,
    AND(C361&lt;C$535,D361&lt;D$535),4,
    AND(C361&lt;C$535,D361&gt;D$535),3,
    TRUE,""
)</f>
        <v>1</v>
      </c>
      <c r="H361" s="5"/>
      <c r="I361" s="5"/>
    </row>
    <row r="362" spans="1:9" x14ac:dyDescent="0.35">
      <c r="A362" s="1" t="s">
        <v>45</v>
      </c>
      <c r="B362" s="2">
        <v>19.053000000000001</v>
      </c>
      <c r="C362" s="2">
        <v>213.458</v>
      </c>
      <c r="D362" s="5">
        <f>+VLOOKUP(A362,Sheet6!A:D,4,0)</f>
        <v>0.24448897795591182</v>
      </c>
      <c r="E362" s="5">
        <f t="shared" si="5"/>
        <v>4.6582484969939879E-3</v>
      </c>
      <c r="F362" s="5" cm="1">
        <f t="array" ref="F362">_xlfn.IFS(
    AND(C362&gt;C$535,D362&lt;D$535),1,
    AND(C362&gt;C$535,D362&gt;D$535),2,
    AND(C362&lt;C$535,D362&lt;D$535),4,
    AND(C362&lt;C$535,D362&gt;D$535),3,
    TRUE,""
)</f>
        <v>4</v>
      </c>
      <c r="H362" s="5"/>
      <c r="I362" s="5"/>
    </row>
    <row r="363" spans="1:9" x14ac:dyDescent="0.35">
      <c r="A363" s="1" t="s">
        <v>420</v>
      </c>
      <c r="B363" s="2">
        <v>2.742</v>
      </c>
      <c r="C363" s="2">
        <v>121.07299999999999</v>
      </c>
      <c r="D363" s="5">
        <f>+VLOOKUP(A363,Sheet6!A:D,4,0)</f>
        <v>0</v>
      </c>
      <c r="E363" s="5">
        <f t="shared" si="5"/>
        <v>0</v>
      </c>
      <c r="F363" s="5" cm="1">
        <f t="array" ref="F363">_xlfn.IFS(
    AND(C363&gt;C$535,D363&lt;D$535),1,
    AND(C363&gt;C$535,D363&gt;D$535),2,
    AND(C363&lt;C$535,D363&lt;D$535),4,
    AND(C363&lt;C$535,D363&gt;D$535),3,
    TRUE,""
)</f>
        <v>4</v>
      </c>
      <c r="H363" s="5"/>
      <c r="I363" s="5"/>
    </row>
    <row r="364" spans="1:9" x14ac:dyDescent="0.35">
      <c r="A364" s="1" t="s">
        <v>421</v>
      </c>
      <c r="B364" s="2">
        <v>1.276</v>
      </c>
      <c r="C364" s="2">
        <v>186.584</v>
      </c>
      <c r="D364" s="5">
        <f>+VLOOKUP(A364,Sheet6!A:D,4,0)</f>
        <v>0.65714285714285725</v>
      </c>
      <c r="E364" s="5">
        <f t="shared" si="5"/>
        <v>8.3851428571428584E-4</v>
      </c>
      <c r="F364" s="5" cm="1">
        <f t="array" ref="F364">_xlfn.IFS(
    AND(C364&gt;C$535,D364&lt;D$535),1,
    AND(C364&gt;C$535,D364&gt;D$535),2,
    AND(C364&lt;C$535,D364&lt;D$535),4,
    AND(C364&lt;C$535,D364&gt;D$535),3,
    TRUE,""
)</f>
        <v>3</v>
      </c>
      <c r="H364" s="5"/>
      <c r="I364" s="5"/>
    </row>
    <row r="365" spans="1:9" ht="29" x14ac:dyDescent="0.35">
      <c r="A365" s="1" t="s">
        <v>44</v>
      </c>
      <c r="B365" s="2">
        <v>27.946999999999999</v>
      </c>
      <c r="C365" s="2">
        <v>323.036</v>
      </c>
      <c r="D365" s="5">
        <f>+VLOOKUP(A365,Sheet6!A:D,4,0)</f>
        <v>0.11643835616438357</v>
      </c>
      <c r="E365" s="5">
        <f t="shared" si="5"/>
        <v>3.2541027397260274E-3</v>
      </c>
      <c r="F365" s="5" cm="1">
        <f t="array" ref="F365">_xlfn.IFS(
    AND(C365&gt;C$535,D365&lt;D$535),1,
    AND(C365&gt;C$535,D365&gt;D$535),2,
    AND(C365&lt;C$535,D365&lt;D$535),4,
    AND(C365&lt;C$535,D365&gt;D$535),3,
    TRUE,""
)</f>
        <v>1</v>
      </c>
      <c r="H365" s="5"/>
      <c r="I365" s="5"/>
    </row>
    <row r="366" spans="1:9" ht="29" x14ac:dyDescent="0.35">
      <c r="A366" s="1" t="s">
        <v>422</v>
      </c>
      <c r="B366" s="2">
        <v>67.248000000000005</v>
      </c>
      <c r="C366" s="2">
        <v>312.14299999999997</v>
      </c>
      <c r="D366" s="5">
        <f>+VLOOKUP(A366,Sheet6!A:D,4,0)</f>
        <v>0.22826086956521741</v>
      </c>
      <c r="E366" s="5">
        <f t="shared" si="5"/>
        <v>1.5350086956521741E-2</v>
      </c>
      <c r="F366" s="5" cm="1">
        <f t="array" ref="F366">_xlfn.IFS(
    AND(C366&gt;C$535,D366&lt;D$535),1,
    AND(C366&gt;C$535,D366&gt;D$535),2,
    AND(C366&lt;C$535,D366&lt;D$535),4,
    AND(C366&lt;C$535,D366&gt;D$535),3,
    TRUE,""
)</f>
        <v>1</v>
      </c>
      <c r="H366" s="5"/>
      <c r="I366" s="5"/>
    </row>
    <row r="367" spans="1:9" x14ac:dyDescent="0.35">
      <c r="A367" s="1" t="s">
        <v>43</v>
      </c>
      <c r="B367" s="2">
        <v>17.396999999999998</v>
      </c>
      <c r="C367" s="2">
        <v>229.63200000000001</v>
      </c>
      <c r="D367" s="5">
        <f>+VLOOKUP(A367,Sheet6!A:D,4,0)</f>
        <v>0.47769516728624534</v>
      </c>
      <c r="E367" s="5">
        <f t="shared" si="5"/>
        <v>8.3104628252788099E-3</v>
      </c>
      <c r="F367" s="5" cm="1">
        <f t="array" ref="F367">_xlfn.IFS(
    AND(C367&gt;C$535,D367&lt;D$535),1,
    AND(C367&gt;C$535,D367&gt;D$535),2,
    AND(C367&lt;C$535,D367&lt;D$535),4,
    AND(C367&lt;C$535,D367&gt;D$535),3,
    TRUE,""
)</f>
        <v>3</v>
      </c>
      <c r="H367" s="5"/>
      <c r="I367" s="5"/>
    </row>
    <row r="368" spans="1:9" x14ac:dyDescent="0.35">
      <c r="A368" s="1" t="s">
        <v>423</v>
      </c>
      <c r="B368" s="2">
        <v>7.1829999999999998</v>
      </c>
      <c r="C368" s="2">
        <v>173.18799999999999</v>
      </c>
      <c r="D368" s="5">
        <f>+VLOOKUP(A368,Sheet6!A:D,4,0)</f>
        <v>0.25301204819277107</v>
      </c>
      <c r="E368" s="5">
        <f t="shared" si="5"/>
        <v>1.8173855421686745E-3</v>
      </c>
      <c r="F368" s="5" cm="1">
        <f t="array" ref="F368">_xlfn.IFS(
    AND(C368&gt;C$535,D368&lt;D$535),1,
    AND(C368&gt;C$535,D368&gt;D$535),2,
    AND(C368&lt;C$535,D368&lt;D$535),4,
    AND(C368&lt;C$535,D368&gt;D$535),3,
    TRUE,""
)</f>
        <v>4</v>
      </c>
      <c r="H368" s="5"/>
      <c r="I368" s="5"/>
    </row>
    <row r="369" spans="1:9" ht="29" x14ac:dyDescent="0.35">
      <c r="A369" s="1" t="s">
        <v>42</v>
      </c>
      <c r="B369" s="1">
        <v>3.1170000000000003E-2</v>
      </c>
      <c r="C369" s="2">
        <v>304.55399999999997</v>
      </c>
      <c r="D369" s="5">
        <f>+VLOOKUP(A369,Sheet6!A:D,4,0)</f>
        <v>0.20319999999999999</v>
      </c>
      <c r="E369" s="5">
        <f t="shared" si="5"/>
        <v>6.3337440000000004E-6</v>
      </c>
      <c r="F369" s="5" cm="1">
        <f t="array" ref="F369">_xlfn.IFS(
    AND(C369&gt;C$535,D369&lt;D$535),1,
    AND(C369&gt;C$535,D369&gt;D$535),2,
    AND(C369&lt;C$535,D369&lt;D$535),4,
    AND(C369&lt;C$535,D369&gt;D$535),3,
    TRUE,""
)</f>
        <v>1</v>
      </c>
      <c r="H369" s="5"/>
      <c r="I369" s="5"/>
    </row>
    <row r="370" spans="1:9" x14ac:dyDescent="0.35">
      <c r="A370" s="1" t="s">
        <v>41</v>
      </c>
      <c r="B370" s="2">
        <v>29.417999999999999</v>
      </c>
      <c r="C370" s="2">
        <v>291.75700000000001</v>
      </c>
      <c r="D370" s="5">
        <f>+VLOOKUP(A370,Sheet6!A:D,4,0)</f>
        <v>0.17493472584856398</v>
      </c>
      <c r="E370" s="5">
        <f t="shared" si="5"/>
        <v>5.1462297650130559E-3</v>
      </c>
      <c r="F370" s="5" cm="1">
        <f t="array" ref="F370">_xlfn.IFS(
    AND(C370&gt;C$535,D370&lt;D$535),1,
    AND(C370&gt;C$535,D370&gt;D$535),2,
    AND(C370&lt;C$535,D370&lt;D$535),4,
    AND(C370&lt;C$535,D370&gt;D$535),3,
    TRUE,""
)</f>
        <v>1</v>
      </c>
      <c r="H370" s="5"/>
      <c r="I370" s="5"/>
    </row>
    <row r="371" spans="1:9" x14ac:dyDescent="0.35">
      <c r="A371" s="1" t="s">
        <v>40</v>
      </c>
      <c r="B371" s="2">
        <v>6.931</v>
      </c>
      <c r="C371" s="2">
        <v>255.51900000000001</v>
      </c>
      <c r="D371" s="5">
        <f>+VLOOKUP(A371,Sheet6!A:D,4,0)</f>
        <v>4.3137254901960791E-2</v>
      </c>
      <c r="E371" s="5">
        <f t="shared" si="5"/>
        <v>2.9898431372549022E-4</v>
      </c>
      <c r="F371" s="5" cm="1">
        <f t="array" ref="F371">_xlfn.IFS(
    AND(C371&gt;C$535,D371&lt;D$535),1,
    AND(C371&gt;C$535,D371&gt;D$535),2,
    AND(C371&lt;C$535,D371&lt;D$535),4,
    AND(C371&lt;C$535,D371&gt;D$535),3,
    TRUE,""
)</f>
        <v>1</v>
      </c>
      <c r="H371" s="5"/>
      <c r="I371" s="5"/>
    </row>
    <row r="372" spans="1:9" x14ac:dyDescent="0.35">
      <c r="A372" s="1" t="s">
        <v>424</v>
      </c>
      <c r="B372" s="2">
        <v>42.125</v>
      </c>
      <c r="C372" s="1">
        <v>0.22941</v>
      </c>
      <c r="D372" s="5">
        <f>+VLOOKUP(A372,Sheet6!A:D,4,0)</f>
        <v>0.25168236877523553</v>
      </c>
      <c r="E372" s="5">
        <f t="shared" si="5"/>
        <v>1.0602119784656796E-2</v>
      </c>
      <c r="F372" s="5" cm="1">
        <f t="array" ref="F372">_xlfn.IFS(
    AND(C372&gt;C$535,D372&lt;D$535),1,
    AND(C372&gt;C$535,D372&gt;D$535),2,
    AND(C372&lt;C$535,D372&lt;D$535),4,
    AND(C372&lt;C$535,D372&gt;D$535),3,
    TRUE,""
)</f>
        <v>4</v>
      </c>
      <c r="H372" s="5"/>
      <c r="I372" s="5"/>
    </row>
    <row r="373" spans="1:9" x14ac:dyDescent="0.35">
      <c r="A373" s="1" t="s">
        <v>425</v>
      </c>
      <c r="B373" s="2">
        <v>2.7370000000000001</v>
      </c>
      <c r="C373" s="2">
        <v>166.607</v>
      </c>
      <c r="D373" s="5">
        <f>+VLOOKUP(A373,Sheet6!A:D,4,0)</f>
        <v>0.12195121951219513</v>
      </c>
      <c r="E373" s="5">
        <f t="shared" si="5"/>
        <v>3.3378048780487808E-4</v>
      </c>
      <c r="F373" s="5" cm="1">
        <f t="array" ref="F373">_xlfn.IFS(
    AND(C373&gt;C$535,D373&lt;D$535),1,
    AND(C373&gt;C$535,D373&gt;D$535),2,
    AND(C373&lt;C$535,D373&lt;D$535),4,
    AND(C373&lt;C$535,D373&gt;D$535),3,
    TRUE,""
)</f>
        <v>4</v>
      </c>
      <c r="H373" s="5"/>
      <c r="I373" s="5"/>
    </row>
    <row r="374" spans="1:9" x14ac:dyDescent="0.35">
      <c r="A374" s="1" t="s">
        <v>426</v>
      </c>
      <c r="B374" s="1">
        <v>2.6920000000000003E-2</v>
      </c>
      <c r="C374" s="2">
        <v>249.107</v>
      </c>
      <c r="D374" s="5">
        <f>+VLOOKUP(A374,Sheet6!A:D,4,0)</f>
        <v>8.0188679245283015E-2</v>
      </c>
      <c r="E374" s="5">
        <f t="shared" si="5"/>
        <v>2.1586792452830189E-6</v>
      </c>
      <c r="F374" s="5" cm="1">
        <f t="array" ref="F374">_xlfn.IFS(
    AND(C374&gt;C$535,D374&lt;D$535),1,
    AND(C374&gt;C$535,D374&gt;D$535),2,
    AND(C374&lt;C$535,D374&lt;D$535),4,
    AND(C374&lt;C$535,D374&gt;D$535),3,
    TRUE,""
)</f>
        <v>1</v>
      </c>
      <c r="H374" s="5"/>
      <c r="I374" s="5"/>
    </row>
    <row r="375" spans="1:9" x14ac:dyDescent="0.35">
      <c r="A375" s="1" t="s">
        <v>39</v>
      </c>
      <c r="B375" s="2">
        <v>17.777000000000001</v>
      </c>
      <c r="C375" s="2">
        <v>289.98700000000002</v>
      </c>
      <c r="D375" s="5">
        <f>+VLOOKUP(A375,Sheet6!A:D,4,0)</f>
        <v>0.19285714285714289</v>
      </c>
      <c r="E375" s="5">
        <f t="shared" si="5"/>
        <v>3.4284214285714297E-3</v>
      </c>
      <c r="F375" s="5" cm="1">
        <f t="array" ref="F375">_xlfn.IFS(
    AND(C375&gt;C$535,D375&lt;D$535),1,
    AND(C375&gt;C$535,D375&gt;D$535),2,
    AND(C375&lt;C$535,D375&lt;D$535),4,
    AND(C375&lt;C$535,D375&gt;D$535),3,
    TRUE,""
)</f>
        <v>1</v>
      </c>
      <c r="H375" s="5"/>
      <c r="I375" s="5"/>
    </row>
    <row r="376" spans="1:9" x14ac:dyDescent="0.35">
      <c r="A376" s="1" t="s">
        <v>38</v>
      </c>
      <c r="B376" s="2">
        <v>23.103999999999999</v>
      </c>
      <c r="C376" s="2">
        <v>319.55700000000002</v>
      </c>
      <c r="D376" s="5">
        <f>+VLOOKUP(A376,Sheet6!A:D,4,0)</f>
        <v>0.19298245614035089</v>
      </c>
      <c r="E376" s="5">
        <f t="shared" si="5"/>
        <v>4.4586666666666672E-3</v>
      </c>
      <c r="F376" s="5" cm="1">
        <f t="array" ref="F376">_xlfn.IFS(
    AND(C376&gt;C$535,D376&lt;D$535),1,
    AND(C376&gt;C$535,D376&gt;D$535),2,
    AND(C376&lt;C$535,D376&lt;D$535),4,
    AND(C376&lt;C$535,D376&gt;D$535),3,
    TRUE,""
)</f>
        <v>1</v>
      </c>
      <c r="H376" s="5"/>
      <c r="I376" s="5"/>
    </row>
    <row r="377" spans="1:9" x14ac:dyDescent="0.35">
      <c r="A377" s="1" t="s">
        <v>37</v>
      </c>
      <c r="B377" s="2">
        <v>13.616</v>
      </c>
      <c r="C377" s="2">
        <v>386.38600000000002</v>
      </c>
      <c r="D377" s="5">
        <f>+VLOOKUP(A377,Sheet6!A:D,4,0)</f>
        <v>0.11634349030470914</v>
      </c>
      <c r="E377" s="5">
        <f t="shared" si="5"/>
        <v>1.5841329639889198E-3</v>
      </c>
      <c r="F377" s="5" cm="1">
        <f t="array" ref="F377">_xlfn.IFS(
    AND(C377&gt;C$535,D377&lt;D$535),1,
    AND(C377&gt;C$535,D377&gt;D$535),2,
    AND(C377&lt;C$535,D377&lt;D$535),4,
    AND(C377&lt;C$535,D377&gt;D$535),3,
    TRUE,""
)</f>
        <v>1</v>
      </c>
      <c r="H377" s="5"/>
      <c r="I377" s="5"/>
    </row>
    <row r="378" spans="1:9" x14ac:dyDescent="0.35">
      <c r="A378" s="1" t="s">
        <v>36</v>
      </c>
      <c r="B378" s="1">
        <v>2.1430000000000001E-2</v>
      </c>
      <c r="C378" s="2">
        <v>297.75299999999999</v>
      </c>
      <c r="D378" s="5">
        <f>+VLOOKUP(A378,Sheet6!A:D,4,0)</f>
        <v>0.25</v>
      </c>
      <c r="E378" s="5">
        <f t="shared" si="5"/>
        <v>5.3575E-6</v>
      </c>
      <c r="F378" s="5" cm="1">
        <f t="array" ref="F378">_xlfn.IFS(
    AND(C378&gt;C$535,D378&lt;D$535),1,
    AND(C378&gt;C$535,D378&gt;D$535),2,
    AND(C378&lt;C$535,D378&lt;D$535),4,
    AND(C378&lt;C$535,D378&gt;D$535),3,
    TRUE,""
)</f>
        <v>1</v>
      </c>
      <c r="H378" s="5"/>
      <c r="I378" s="5"/>
    </row>
    <row r="379" spans="1:9" x14ac:dyDescent="0.35">
      <c r="A379" s="1" t="s">
        <v>35</v>
      </c>
      <c r="B379" s="2">
        <v>7.6619999999999999</v>
      </c>
      <c r="C379" s="2">
        <v>302.536</v>
      </c>
      <c r="D379" s="5">
        <f>+VLOOKUP(A379,Sheet6!A:D,4,0)</f>
        <v>0.3174603174603175</v>
      </c>
      <c r="E379" s="5">
        <f t="shared" si="5"/>
        <v>2.4323809523809524E-3</v>
      </c>
      <c r="F379" s="5" cm="1">
        <f t="array" ref="F379">_xlfn.IFS(
    AND(C379&gt;C$535,D379&lt;D$535),1,
    AND(C379&gt;C$535,D379&gt;D$535),2,
    AND(C379&lt;C$535,D379&lt;D$535),4,
    AND(C379&lt;C$535,D379&gt;D$535),3,
    TRUE,""
)</f>
        <v>2</v>
      </c>
      <c r="H379" s="5"/>
      <c r="I379" s="5"/>
    </row>
    <row r="380" spans="1:9" x14ac:dyDescent="0.35">
      <c r="A380" s="1" t="s">
        <v>427</v>
      </c>
      <c r="B380" s="2">
        <v>15.555999999999999</v>
      </c>
      <c r="C380" s="2">
        <v>406.66399999999999</v>
      </c>
      <c r="D380" s="5">
        <f>+VLOOKUP(A380,Sheet6!A:D,4,0)</f>
        <v>0.44482758620689655</v>
      </c>
      <c r="E380" s="5">
        <f t="shared" si="5"/>
        <v>6.9197379310344817E-3</v>
      </c>
      <c r="F380" s="5" cm="1">
        <f t="array" ref="F380">_xlfn.IFS(
    AND(C380&gt;C$535,D380&lt;D$535),1,
    AND(C380&gt;C$535,D380&gt;D$535),2,
    AND(C380&lt;C$535,D380&lt;D$535),4,
    AND(C380&lt;C$535,D380&gt;D$535),3,
    TRUE,""
)</f>
        <v>2</v>
      </c>
      <c r="H380" s="5"/>
      <c r="I380" s="5"/>
    </row>
    <row r="381" spans="1:9" x14ac:dyDescent="0.35">
      <c r="A381" s="1" t="s">
        <v>428</v>
      </c>
      <c r="B381" s="2">
        <v>7.2110000000000003</v>
      </c>
      <c r="C381" s="1">
        <v>0.18928999999999999</v>
      </c>
      <c r="D381" s="5">
        <f>+VLOOKUP(A381,Sheet6!A:D,4,0)</f>
        <v>0.44736842105263158</v>
      </c>
      <c r="E381" s="5">
        <f t="shared" si="5"/>
        <v>3.2259736842105268E-3</v>
      </c>
      <c r="F381" s="5" cm="1">
        <f t="array" ref="F381">_xlfn.IFS(
    AND(C381&gt;C$535,D381&lt;D$535),1,
    AND(C381&gt;C$535,D381&gt;D$535),2,
    AND(C381&lt;C$535,D381&lt;D$535),4,
    AND(C381&lt;C$535,D381&gt;D$535),3,
    TRUE,""
)</f>
        <v>3</v>
      </c>
      <c r="H381" s="5"/>
      <c r="I381" s="5"/>
    </row>
    <row r="382" spans="1:9" x14ac:dyDescent="0.35">
      <c r="A382" s="1" t="s">
        <v>429</v>
      </c>
      <c r="B382" s="2">
        <v>7.0730000000000004</v>
      </c>
      <c r="C382" s="2">
        <v>166.126</v>
      </c>
      <c r="D382" s="5">
        <f>+VLOOKUP(A382,Sheet6!A:D,4,0)</f>
        <v>0.33333333333333331</v>
      </c>
      <c r="E382" s="5">
        <f t="shared" si="5"/>
        <v>2.3576666666666668E-3</v>
      </c>
      <c r="F382" s="5" cm="1">
        <f t="array" ref="F382">_xlfn.IFS(
    AND(C382&gt;C$535,D382&lt;D$535),1,
    AND(C382&gt;C$535,D382&gt;D$535),2,
    AND(C382&lt;C$535,D382&lt;D$535),4,
    AND(C382&lt;C$535,D382&gt;D$535),3,
    TRUE,""
)</f>
        <v>3</v>
      </c>
      <c r="H382" s="5"/>
      <c r="I382" s="5"/>
    </row>
    <row r="383" spans="1:9" x14ac:dyDescent="0.35">
      <c r="A383" s="1" t="s">
        <v>34</v>
      </c>
      <c r="B383" s="2">
        <v>39.384</v>
      </c>
      <c r="C383" s="2">
        <v>367.791</v>
      </c>
      <c r="D383" s="5">
        <f>+VLOOKUP(A383,Sheet6!A:D,4,0)</f>
        <v>0.15970149253731344</v>
      </c>
      <c r="E383" s="5">
        <f t="shared" si="5"/>
        <v>6.2896835820895527E-3</v>
      </c>
      <c r="F383" s="5" cm="1">
        <f t="array" ref="F383">_xlfn.IFS(
    AND(C383&gt;C$535,D383&lt;D$535),1,
    AND(C383&gt;C$535,D383&gt;D$535),2,
    AND(C383&lt;C$535,D383&lt;D$535),4,
    AND(C383&lt;C$535,D383&gt;D$535),3,
    TRUE,""
)</f>
        <v>1</v>
      </c>
      <c r="H383" s="5"/>
      <c r="I383" s="5"/>
    </row>
    <row r="384" spans="1:9" x14ac:dyDescent="0.35">
      <c r="A384" s="1" t="s">
        <v>430</v>
      </c>
      <c r="B384" s="2">
        <v>31.106000000000002</v>
      </c>
      <c r="C384" s="2">
        <v>327.68099999999998</v>
      </c>
      <c r="D384" s="5">
        <f>+VLOOKUP(A384,Sheet6!A:D,4,0)</f>
        <v>9.9767981438515091E-2</v>
      </c>
      <c r="E384" s="5">
        <f t="shared" si="5"/>
        <v>3.1033828306264504E-3</v>
      </c>
      <c r="F384" s="5" cm="1">
        <f t="array" ref="F384">_xlfn.IFS(
    AND(C384&gt;C$535,D384&lt;D$535),1,
    AND(C384&gt;C$535,D384&gt;D$535),2,
    AND(C384&lt;C$535,D384&lt;D$535),4,
    AND(C384&lt;C$535,D384&gt;D$535),3,
    TRUE,""
)</f>
        <v>1</v>
      </c>
      <c r="H384" s="5"/>
      <c r="I384" s="5"/>
    </row>
    <row r="385" spans="1:9" ht="29" x14ac:dyDescent="0.35">
      <c r="A385" s="1" t="s">
        <v>431</v>
      </c>
      <c r="B385" s="2">
        <v>57.180999999999997</v>
      </c>
      <c r="C385" s="2">
        <v>212.02699999999999</v>
      </c>
      <c r="D385" s="5">
        <f>+VLOOKUP(A385,Sheet6!A:D,4,0)</f>
        <v>0.30493915533285609</v>
      </c>
      <c r="E385" s="5">
        <f t="shared" si="5"/>
        <v>1.7436725841088043E-2</v>
      </c>
      <c r="F385" s="5" cm="1">
        <f t="array" ref="F385">_xlfn.IFS(
    AND(C385&gt;C$535,D385&lt;D$535),1,
    AND(C385&gt;C$535,D385&gt;D$535),2,
    AND(C385&lt;C$535,D385&lt;D$535),4,
    AND(C385&lt;C$535,D385&gt;D$535),3,
    TRUE,""
)</f>
        <v>3</v>
      </c>
      <c r="H385" s="5"/>
      <c r="I385" s="5"/>
    </row>
    <row r="386" spans="1:9" x14ac:dyDescent="0.35">
      <c r="A386" s="1" t="s">
        <v>432</v>
      </c>
      <c r="B386" s="1">
        <v>2.8E-3</v>
      </c>
      <c r="C386" s="2">
        <v>161.43299999999999</v>
      </c>
      <c r="D386" s="5">
        <f>+VLOOKUP(A386,Sheet6!A:D,4,0)</f>
        <v>0.34177215189873417</v>
      </c>
      <c r="E386" s="5">
        <f t="shared" ref="E386:E449" si="6">(B386*D386)/1000</f>
        <v>9.5696202531645564E-7</v>
      </c>
      <c r="F386" s="5" cm="1">
        <f t="array" ref="F386">_xlfn.IFS(
    AND(C386&gt;C$535,D386&lt;D$535),1,
    AND(C386&gt;C$535,D386&gt;D$535),2,
    AND(C386&lt;C$535,D386&lt;D$535),4,
    AND(C386&lt;C$535,D386&gt;D$535),3,
    TRUE,""
)</f>
        <v>3</v>
      </c>
      <c r="H386" s="5"/>
      <c r="I386" s="5"/>
    </row>
    <row r="387" spans="1:9" x14ac:dyDescent="0.35">
      <c r="A387" s="1" t="s">
        <v>433</v>
      </c>
      <c r="B387" s="2">
        <v>67.117999999999995</v>
      </c>
      <c r="C387" s="2">
        <v>258.27600000000001</v>
      </c>
      <c r="D387" s="5">
        <f>+VLOOKUP(A387,Sheet6!A:D,4,0)</f>
        <v>0.14247491638795987</v>
      </c>
      <c r="E387" s="5">
        <f t="shared" si="6"/>
        <v>9.5626314381270904E-3</v>
      </c>
      <c r="F387" s="5" cm="1">
        <f t="array" ref="F387">_xlfn.IFS(
    AND(C387&gt;C$535,D387&lt;D$535),1,
    AND(C387&gt;C$535,D387&gt;D$535),2,
    AND(C387&lt;C$535,D387&lt;D$535),4,
    AND(C387&lt;C$535,D387&gt;D$535),3,
    TRUE,""
)</f>
        <v>1</v>
      </c>
      <c r="H387" s="5"/>
      <c r="I387" s="5"/>
    </row>
    <row r="388" spans="1:9" x14ac:dyDescent="0.35">
      <c r="A388" s="1" t="s">
        <v>33</v>
      </c>
      <c r="B388" s="1">
        <v>2.6800000000000001E-3</v>
      </c>
      <c r="C388" s="2">
        <v>167.56800000000001</v>
      </c>
      <c r="D388" s="5">
        <f>+VLOOKUP(A388,Sheet6!A:D,4,0)</f>
        <v>0.14814814814814814</v>
      </c>
      <c r="E388" s="5">
        <f t="shared" si="6"/>
        <v>3.9703703703703706E-7</v>
      </c>
      <c r="F388" s="5" cm="1">
        <f t="array" ref="F388">_xlfn.IFS(
    AND(C388&gt;C$535,D388&lt;D$535),1,
    AND(C388&gt;C$535,D388&gt;D$535),2,
    AND(C388&lt;C$535,D388&lt;D$535),4,
    AND(C388&lt;C$535,D388&gt;D$535),3,
    TRUE,""
)</f>
        <v>4</v>
      </c>
      <c r="H388" s="5"/>
      <c r="I388" s="5"/>
    </row>
    <row r="389" spans="1:9" x14ac:dyDescent="0.35">
      <c r="A389" s="1" t="s">
        <v>434</v>
      </c>
      <c r="B389" s="1">
        <v>1.0150000000000001E-2</v>
      </c>
      <c r="C389" s="2">
        <v>212.715</v>
      </c>
      <c r="D389" s="5">
        <f>+VLOOKUP(A389,Sheet6!A:D,4,0)</f>
        <v>1.6216216216216214E-2</v>
      </c>
      <c r="E389" s="5">
        <f t="shared" si="6"/>
        <v>1.6459459459459459E-7</v>
      </c>
      <c r="F389" s="5" cm="1">
        <f t="array" ref="F389">_xlfn.IFS(
    AND(C389&gt;C$535,D389&lt;D$535),1,
    AND(C389&gt;C$535,D389&gt;D$535),2,
    AND(C389&lt;C$535,D389&lt;D$535),4,
    AND(C389&lt;C$535,D389&gt;D$535),3,
    TRUE,""
)</f>
        <v>4</v>
      </c>
      <c r="H389" s="5"/>
      <c r="I389" s="5"/>
    </row>
    <row r="390" spans="1:9" x14ac:dyDescent="0.35">
      <c r="A390" s="1" t="s">
        <v>435</v>
      </c>
      <c r="B390" s="2">
        <v>8.4619999999999997</v>
      </c>
      <c r="C390" s="2">
        <v>137.197</v>
      </c>
      <c r="D390" s="5">
        <f>+VLOOKUP(A390,Sheet6!A:D,4,0)</f>
        <v>0.42477876106194695</v>
      </c>
      <c r="E390" s="5">
        <f t="shared" si="6"/>
        <v>3.594477876106195E-3</v>
      </c>
      <c r="F390" s="5" cm="1">
        <f t="array" ref="F390">_xlfn.IFS(
    AND(C390&gt;C$535,D390&lt;D$535),1,
    AND(C390&gt;C$535,D390&gt;D$535),2,
    AND(C390&lt;C$535,D390&lt;D$535),4,
    AND(C390&lt;C$535,D390&gt;D$535),3,
    TRUE,""
)</f>
        <v>3</v>
      </c>
      <c r="H390" s="5"/>
      <c r="I390" s="5"/>
    </row>
    <row r="391" spans="1:9" x14ac:dyDescent="0.35">
      <c r="A391" s="1" t="s">
        <v>436</v>
      </c>
      <c r="B391" s="2">
        <v>5.1289999999999996</v>
      </c>
      <c r="C391" s="2">
        <v>191.852</v>
      </c>
      <c r="D391" s="5">
        <f>+VLOOKUP(A391,Sheet6!A:D,4,0)</f>
        <v>0.12962962962962962</v>
      </c>
      <c r="E391" s="5">
        <f t="shared" si="6"/>
        <v>6.6487037037037025E-4</v>
      </c>
      <c r="F391" s="5" cm="1">
        <f t="array" ref="F391">_xlfn.IFS(
    AND(C391&gt;C$535,D391&lt;D$535),1,
    AND(C391&gt;C$535,D391&gt;D$535),2,
    AND(C391&lt;C$535,D391&lt;D$535),4,
    AND(C391&lt;C$535,D391&gt;D$535),3,
    TRUE,""
)</f>
        <v>4</v>
      </c>
      <c r="H391" s="5"/>
      <c r="I391" s="5"/>
    </row>
    <row r="392" spans="1:9" x14ac:dyDescent="0.35">
      <c r="A392" s="1" t="s">
        <v>32</v>
      </c>
      <c r="B392" s="2">
        <v>16.356000000000002</v>
      </c>
      <c r="C392" s="2">
        <v>247.988</v>
      </c>
      <c r="D392" s="5">
        <f>+VLOOKUP(A392,Sheet6!A:D,4,0)</f>
        <v>0.16666666666666669</v>
      </c>
      <c r="E392" s="5">
        <f t="shared" si="6"/>
        <v>2.7260000000000006E-3</v>
      </c>
      <c r="F392" s="5" cm="1">
        <f t="array" ref="F392">_xlfn.IFS(
    AND(C392&gt;C$535,D392&lt;D$535),1,
    AND(C392&gt;C$535,D392&gt;D$535),2,
    AND(C392&lt;C$535,D392&lt;D$535),4,
    AND(C392&lt;C$535,D392&gt;D$535),3,
    TRUE,""
)</f>
        <v>1</v>
      </c>
      <c r="H392" s="5"/>
      <c r="I392" s="5"/>
    </row>
    <row r="393" spans="1:9" x14ac:dyDescent="0.35">
      <c r="A393" s="1" t="s">
        <v>437</v>
      </c>
      <c r="B393" s="2">
        <v>2.5950000000000002</v>
      </c>
      <c r="C393" s="1">
        <v>0.16646</v>
      </c>
      <c r="D393" s="5">
        <f>+VLOOKUP(A393,Sheet6!A:D,4,0)</f>
        <v>0.26865671641791045</v>
      </c>
      <c r="E393" s="5">
        <f t="shared" si="6"/>
        <v>6.9716417910447768E-4</v>
      </c>
      <c r="F393" s="5" cm="1">
        <f t="array" ref="F393">_xlfn.IFS(
    AND(C393&gt;C$535,D393&lt;D$535),1,
    AND(C393&gt;C$535,D393&gt;D$535),2,
    AND(C393&lt;C$535,D393&lt;D$535),4,
    AND(C393&lt;C$535,D393&gt;D$535),3,
    TRUE,""
)</f>
        <v>3</v>
      </c>
      <c r="H393" s="5"/>
      <c r="I393" s="5"/>
    </row>
    <row r="394" spans="1:9" x14ac:dyDescent="0.35">
      <c r="A394" s="1" t="s">
        <v>438</v>
      </c>
      <c r="B394" s="2">
        <v>61.228999999999999</v>
      </c>
      <c r="C394" s="2">
        <v>239.18299999999999</v>
      </c>
      <c r="D394" s="5">
        <f>+VLOOKUP(A394,Sheet6!A:D,4,0)</f>
        <v>0.27897350993377484</v>
      </c>
      <c r="E394" s="5">
        <f t="shared" si="6"/>
        <v>1.70812690397351E-2</v>
      </c>
      <c r="F394" s="5" cm="1">
        <f t="array" ref="F394">_xlfn.IFS(
    AND(C394&gt;C$535,D394&lt;D$535),1,
    AND(C394&gt;C$535,D394&gt;D$535),2,
    AND(C394&lt;C$535,D394&lt;D$535),4,
    AND(C394&lt;C$535,D394&gt;D$535),3,
    TRUE,""
)</f>
        <v>2</v>
      </c>
      <c r="H394" s="5"/>
      <c r="I394" s="5"/>
    </row>
    <row r="395" spans="1:9" x14ac:dyDescent="0.35">
      <c r="A395" s="1" t="s">
        <v>31</v>
      </c>
      <c r="B395" s="2">
        <v>22.372</v>
      </c>
      <c r="C395" s="1">
        <v>0.27297000000000005</v>
      </c>
      <c r="D395" s="5">
        <f>+VLOOKUP(A395,Sheet6!A:D,4,0)</f>
        <v>0.17520215633423181</v>
      </c>
      <c r="E395" s="5">
        <f t="shared" si="6"/>
        <v>3.9196226415094343E-3</v>
      </c>
      <c r="F395" s="5" cm="1">
        <f t="array" ref="F395">_xlfn.IFS(
    AND(C395&gt;C$535,D395&lt;D$535),1,
    AND(C395&gt;C$535,D395&gt;D$535),2,
    AND(C395&lt;C$535,D395&lt;D$535),4,
    AND(C395&lt;C$535,D395&gt;D$535),3,
    TRUE,""
)</f>
        <v>4</v>
      </c>
      <c r="H395" s="5"/>
      <c r="I395" s="5"/>
    </row>
    <row r="396" spans="1:9" x14ac:dyDescent="0.35">
      <c r="A396" s="1" t="s">
        <v>439</v>
      </c>
      <c r="B396" s="2">
        <v>2.6339999999999999</v>
      </c>
      <c r="C396" s="2">
        <v>156.773</v>
      </c>
      <c r="D396" s="5">
        <f>+VLOOKUP(A396,Sheet6!A:D,4,0)</f>
        <v>0</v>
      </c>
      <c r="E396" s="5">
        <f t="shared" si="6"/>
        <v>0</v>
      </c>
      <c r="F396" s="5" cm="1">
        <f t="array" ref="F396">_xlfn.IFS(
    AND(C396&gt;C$535,D396&lt;D$535),1,
    AND(C396&gt;C$535,D396&gt;D$535),2,
    AND(C396&lt;C$535,D396&lt;D$535),4,
    AND(C396&lt;C$535,D396&gt;D$535),3,
    TRUE,""
)</f>
        <v>4</v>
      </c>
      <c r="H396" s="5"/>
      <c r="I396" s="5"/>
    </row>
    <row r="397" spans="1:9" x14ac:dyDescent="0.35">
      <c r="A397" s="1" t="s">
        <v>440</v>
      </c>
      <c r="B397" s="2">
        <v>34.722000000000001</v>
      </c>
      <c r="C397" s="2">
        <v>258.62200000000001</v>
      </c>
      <c r="D397" s="5">
        <f>+VLOOKUP(A397,Sheet6!A:D,4,0)</f>
        <v>0.29489291598023065</v>
      </c>
      <c r="E397" s="5">
        <f t="shared" si="6"/>
        <v>1.0239271828665568E-2</v>
      </c>
      <c r="F397" s="5" cm="1">
        <f t="array" ref="F397">_xlfn.IFS(
    AND(C397&gt;C$535,D397&lt;D$535),1,
    AND(C397&gt;C$535,D397&gt;D$535),2,
    AND(C397&lt;C$535,D397&lt;D$535),4,
    AND(C397&lt;C$535,D397&gt;D$535),3,
    TRUE,""
)</f>
        <v>2</v>
      </c>
      <c r="H397" s="5"/>
      <c r="I397" s="5"/>
    </row>
    <row r="398" spans="1:9" ht="29" x14ac:dyDescent="0.35">
      <c r="A398" s="1" t="s">
        <v>441</v>
      </c>
      <c r="B398" s="2">
        <v>2.9980000000000002</v>
      </c>
      <c r="C398" s="2">
        <v>301.90899999999999</v>
      </c>
      <c r="D398" s="5">
        <f>+VLOOKUP(A398,Sheet6!A:D,4,0)</f>
        <v>0.62222222222222223</v>
      </c>
      <c r="E398" s="5">
        <f t="shared" si="6"/>
        <v>1.8654222222222222E-3</v>
      </c>
      <c r="F398" s="5" cm="1">
        <f t="array" ref="F398">_xlfn.IFS(
    AND(C398&gt;C$535,D398&lt;D$535),1,
    AND(C398&gt;C$535,D398&gt;D$535),2,
    AND(C398&lt;C$535,D398&lt;D$535),4,
    AND(C398&lt;C$535,D398&gt;D$535),3,
    TRUE,""
)</f>
        <v>2</v>
      </c>
      <c r="H398" s="5"/>
      <c r="I398" s="5"/>
    </row>
    <row r="399" spans="1:9" x14ac:dyDescent="0.35">
      <c r="A399" s="1" t="s">
        <v>30</v>
      </c>
      <c r="B399" s="2">
        <v>10.097</v>
      </c>
      <c r="C399" s="2">
        <v>259.58199999999999</v>
      </c>
      <c r="D399" s="5">
        <f>+VLOOKUP(A399,Sheet6!A:D,4,0)</f>
        <v>0.39542483660130717</v>
      </c>
      <c r="E399" s="5">
        <f t="shared" si="6"/>
        <v>3.9926045751633981E-3</v>
      </c>
      <c r="F399" s="5" cm="1">
        <f t="array" ref="F399">_xlfn.IFS(
    AND(C399&gt;C$535,D399&lt;D$535),1,
    AND(C399&gt;C$535,D399&gt;D$535),2,
    AND(C399&lt;C$535,D399&lt;D$535),4,
    AND(C399&lt;C$535,D399&gt;D$535),3,
    TRUE,""
)</f>
        <v>2</v>
      </c>
      <c r="H399" s="5"/>
      <c r="I399" s="5"/>
    </row>
    <row r="400" spans="1:9" ht="29" x14ac:dyDescent="0.35">
      <c r="A400" s="1" t="s">
        <v>442</v>
      </c>
      <c r="B400" s="2">
        <v>19.753</v>
      </c>
      <c r="C400" s="2">
        <v>218.55199999999999</v>
      </c>
      <c r="D400" s="5">
        <f>+VLOOKUP(A400,Sheet6!A:D,4,0)</f>
        <v>0.10687022900763359</v>
      </c>
      <c r="E400" s="5">
        <f t="shared" si="6"/>
        <v>2.1110076335877862E-3</v>
      </c>
      <c r="F400" s="5" cm="1">
        <f t="array" ref="F400">_xlfn.IFS(
    AND(C400&gt;C$535,D400&lt;D$535),1,
    AND(C400&gt;C$535,D400&gt;D$535),2,
    AND(C400&lt;C$535,D400&lt;D$535),4,
    AND(C400&lt;C$535,D400&gt;D$535),3,
    TRUE,""
)</f>
        <v>4</v>
      </c>
      <c r="H400" s="5"/>
      <c r="I400" s="5"/>
    </row>
    <row r="401" spans="1:9" x14ac:dyDescent="0.35">
      <c r="A401" s="1" t="s">
        <v>443</v>
      </c>
      <c r="B401" s="1">
        <v>5.6799999999999996E-2</v>
      </c>
      <c r="C401" s="2">
        <v>303.97699999999998</v>
      </c>
      <c r="D401" s="5">
        <f>+VLOOKUP(A401,Sheet6!A:D,4,0)</f>
        <v>0.2749428789032749</v>
      </c>
      <c r="E401" s="5">
        <f t="shared" si="6"/>
        <v>1.5616755521706013E-5</v>
      </c>
      <c r="F401" s="5" cm="1">
        <f t="array" ref="F401">_xlfn.IFS(
    AND(C401&gt;C$535,D401&lt;D$535),1,
    AND(C401&gt;C$535,D401&gt;D$535),2,
    AND(C401&lt;C$535,D401&lt;D$535),4,
    AND(C401&lt;C$535,D401&gt;D$535),3,
    TRUE,""
)</f>
        <v>2</v>
      </c>
      <c r="H401" s="5"/>
      <c r="I401" s="5"/>
    </row>
    <row r="402" spans="1:9" ht="29" x14ac:dyDescent="0.35">
      <c r="A402" s="1" t="s">
        <v>444</v>
      </c>
      <c r="B402" s="2">
        <v>68.433999999999997</v>
      </c>
      <c r="C402" s="2">
        <v>312.303</v>
      </c>
      <c r="D402" s="5">
        <f>+VLOOKUP(A402,Sheet6!A:D,4,0)</f>
        <v>0.24868189806678381</v>
      </c>
      <c r="E402" s="5">
        <f t="shared" si="6"/>
        <v>1.7018297012302282E-2</v>
      </c>
      <c r="F402" s="5" cm="1">
        <f t="array" ref="F402">_xlfn.IFS(
    AND(C402&gt;C$535,D402&lt;D$535),1,
    AND(C402&gt;C$535,D402&gt;D$535),2,
    AND(C402&lt;C$535,D402&lt;D$535),4,
    AND(C402&lt;C$535,D402&gt;D$535),3,
    TRUE,""
)</f>
        <v>1</v>
      </c>
      <c r="H402" s="5"/>
      <c r="I402" s="5"/>
    </row>
    <row r="403" spans="1:9" x14ac:dyDescent="0.35">
      <c r="A403" s="1" t="s">
        <v>445</v>
      </c>
      <c r="B403" s="2">
        <v>20.687000000000001</v>
      </c>
      <c r="C403" s="2">
        <v>325.56799999999998</v>
      </c>
      <c r="D403" s="5">
        <f>+VLOOKUP(A403,Sheet6!A:D,4,0)</f>
        <v>0</v>
      </c>
      <c r="E403" s="5">
        <f t="shared" si="6"/>
        <v>0</v>
      </c>
      <c r="F403" s="5" cm="1">
        <f t="array" ref="F403">_xlfn.IFS(
    AND(C403&gt;C$535,D403&lt;D$535),1,
    AND(C403&gt;C$535,D403&gt;D$535),2,
    AND(C403&lt;C$535,D403&lt;D$535),4,
    AND(C403&lt;C$535,D403&gt;D$535),3,
    TRUE,""
)</f>
        <v>1</v>
      </c>
      <c r="H403" s="5"/>
      <c r="I403" s="5"/>
    </row>
    <row r="404" spans="1:9" x14ac:dyDescent="0.35">
      <c r="A404" s="1" t="s">
        <v>29</v>
      </c>
      <c r="B404" s="2">
        <v>38.956000000000003</v>
      </c>
      <c r="C404" s="1">
        <v>0.22836000000000001</v>
      </c>
      <c r="D404" s="5">
        <f>+VLOOKUP(A404,Sheet6!A:D,4,0)</f>
        <v>0.21861777150916786</v>
      </c>
      <c r="E404" s="5">
        <f t="shared" si="6"/>
        <v>8.5164739069111452E-3</v>
      </c>
      <c r="F404" s="5" cm="1">
        <f t="array" ref="F404">_xlfn.IFS(
    AND(C404&gt;C$535,D404&lt;D$535),1,
    AND(C404&gt;C$535,D404&gt;D$535),2,
    AND(C404&lt;C$535,D404&lt;D$535),4,
    AND(C404&lt;C$535,D404&gt;D$535),3,
    TRUE,""
)</f>
        <v>4</v>
      </c>
      <c r="H404" s="5"/>
      <c r="I404" s="5"/>
    </row>
    <row r="405" spans="1:9" x14ac:dyDescent="0.35">
      <c r="A405" s="1" t="s">
        <v>27</v>
      </c>
      <c r="B405" s="2">
        <v>37.518999999999998</v>
      </c>
      <c r="C405" s="1">
        <v>0.35133999999999999</v>
      </c>
      <c r="D405" s="5">
        <f>+VLOOKUP(A405,Sheet6!A:D,4,0)</f>
        <v>9.1472868217054262E-2</v>
      </c>
      <c r="E405" s="5">
        <f t="shared" si="6"/>
        <v>3.431970542635659E-3</v>
      </c>
      <c r="F405" s="5" cm="1">
        <f t="array" ref="F405">_xlfn.IFS(
    AND(C405&gt;C$535,D405&lt;D$535),1,
    AND(C405&gt;C$535,D405&gt;D$535),2,
    AND(C405&lt;C$535,D405&lt;D$535),4,
    AND(C405&lt;C$535,D405&gt;D$535),3,
    TRUE,""
)</f>
        <v>4</v>
      </c>
      <c r="H405" s="5"/>
      <c r="I405" s="5"/>
    </row>
    <row r="406" spans="1:9" x14ac:dyDescent="0.35">
      <c r="A406" s="1" t="s">
        <v>446</v>
      </c>
      <c r="B406" s="1">
        <v>2.7799999999999999E-3</v>
      </c>
      <c r="C406" s="2">
        <v>67.635000000000005</v>
      </c>
      <c r="D406" s="5">
        <f>+VLOOKUP(A406,Sheet6!A:D,4,0)</f>
        <v>0.55670103092783507</v>
      </c>
      <c r="E406" s="5">
        <f t="shared" si="6"/>
        <v>1.5476288659793814E-6</v>
      </c>
      <c r="F406" s="5" cm="1">
        <f t="array" ref="F406">_xlfn.IFS(
    AND(C406&gt;C$535,D406&lt;D$535),1,
    AND(C406&gt;C$535,D406&gt;D$535),2,
    AND(C406&lt;C$535,D406&lt;D$535),4,
    AND(C406&lt;C$535,D406&gt;D$535),3,
    TRUE,""
)</f>
        <v>3</v>
      </c>
      <c r="H406" s="5"/>
      <c r="I406" s="5"/>
    </row>
    <row r="407" spans="1:9" x14ac:dyDescent="0.35">
      <c r="A407" s="1" t="s">
        <v>447</v>
      </c>
      <c r="B407" s="2">
        <v>26.335000000000001</v>
      </c>
      <c r="C407" s="2">
        <v>222.249</v>
      </c>
      <c r="D407" s="5">
        <f>+VLOOKUP(A407,Sheet6!A:D,4,0)</f>
        <v>0.38263665594855306</v>
      </c>
      <c r="E407" s="5">
        <f t="shared" si="6"/>
        <v>1.0076736334405145E-2</v>
      </c>
      <c r="F407" s="5" cm="1">
        <f t="array" ref="F407">_xlfn.IFS(
    AND(C407&gt;C$535,D407&lt;D$535),1,
    AND(C407&gt;C$535,D407&gt;D$535),2,
    AND(C407&lt;C$535,D407&lt;D$535),4,
    AND(C407&lt;C$535,D407&gt;D$535),3,
    TRUE,""
)</f>
        <v>3</v>
      </c>
      <c r="H407" s="5"/>
      <c r="I407" s="5"/>
    </row>
    <row r="408" spans="1:9" x14ac:dyDescent="0.35">
      <c r="A408" s="1" t="s">
        <v>448</v>
      </c>
      <c r="B408" s="2">
        <v>4.6580000000000004</v>
      </c>
      <c r="C408" s="2">
        <v>156.499</v>
      </c>
      <c r="D408" s="5">
        <f>+VLOOKUP(A408,Sheet6!A:D,4,0)</f>
        <v>0.20408163265306123</v>
      </c>
      <c r="E408" s="5">
        <f t="shared" si="6"/>
        <v>9.5061224489795921E-4</v>
      </c>
      <c r="F408" s="5" cm="1">
        <f t="array" ref="F408">_xlfn.IFS(
    AND(C408&gt;C$535,D408&lt;D$535),1,
    AND(C408&gt;C$535,D408&gt;D$535),2,
    AND(C408&lt;C$535,D408&lt;D$535),4,
    AND(C408&lt;C$535,D408&gt;D$535),3,
    TRUE,""
)</f>
        <v>4</v>
      </c>
      <c r="H408" s="5"/>
      <c r="I408" s="5"/>
    </row>
    <row r="409" spans="1:9" x14ac:dyDescent="0.35">
      <c r="A409" s="1" t="s">
        <v>449</v>
      </c>
      <c r="B409" s="1">
        <v>4.3E-3</v>
      </c>
      <c r="C409" s="2">
        <v>361.42099999999999</v>
      </c>
      <c r="D409" s="5">
        <f>+VLOOKUP(A409,Sheet6!A:D,4,0)</f>
        <v>0.41717791411042948</v>
      </c>
      <c r="E409" s="5">
        <f t="shared" si="6"/>
        <v>1.7938650306748467E-6</v>
      </c>
      <c r="F409" s="5" cm="1">
        <f t="array" ref="F409">_xlfn.IFS(
    AND(C409&gt;C$535,D409&lt;D$535),1,
    AND(C409&gt;C$535,D409&gt;D$535),2,
    AND(C409&lt;C$535,D409&lt;D$535),4,
    AND(C409&lt;C$535,D409&gt;D$535),3,
    TRUE,""
)</f>
        <v>2</v>
      </c>
      <c r="H409" s="5"/>
      <c r="I409" s="5"/>
    </row>
    <row r="410" spans="1:9" ht="29" x14ac:dyDescent="0.35">
      <c r="A410" s="1" t="s">
        <v>450</v>
      </c>
      <c r="B410" s="2">
        <v>72.412000000000006</v>
      </c>
      <c r="C410" s="2">
        <v>285.43599999999998</v>
      </c>
      <c r="D410" s="5">
        <f>+VLOOKUP(A410,Sheet6!A:D,4,0)</f>
        <v>0.20093770931011387</v>
      </c>
      <c r="E410" s="5">
        <f t="shared" si="6"/>
        <v>1.4550301406563968E-2</v>
      </c>
      <c r="F410" s="5" cm="1">
        <f t="array" ref="F410">_xlfn.IFS(
    AND(C410&gt;C$535,D410&lt;D$535),1,
    AND(C410&gt;C$535,D410&gt;D$535),2,
    AND(C410&lt;C$535,D410&lt;D$535),4,
    AND(C410&lt;C$535,D410&gt;D$535),3,
    TRUE,""
)</f>
        <v>1</v>
      </c>
      <c r="H410" s="5"/>
      <c r="I410" s="5"/>
    </row>
    <row r="411" spans="1:9" ht="29" x14ac:dyDescent="0.35">
      <c r="A411" s="1" t="s">
        <v>451</v>
      </c>
      <c r="B411" s="2">
        <v>10.147</v>
      </c>
      <c r="C411" s="2">
        <v>283.73700000000002</v>
      </c>
      <c r="D411" s="5">
        <f>+VLOOKUP(A411,Sheet6!A:D,4,0)</f>
        <v>0.50318471337579618</v>
      </c>
      <c r="E411" s="5">
        <f t="shared" si="6"/>
        <v>5.1058152866242041E-3</v>
      </c>
      <c r="F411" s="5" cm="1">
        <f t="array" ref="F411">_xlfn.IFS(
    AND(C411&gt;C$535,D411&lt;D$535),1,
    AND(C411&gt;C$535,D411&gt;D$535),2,
    AND(C411&lt;C$535,D411&lt;D$535),4,
    AND(C411&lt;C$535,D411&gt;D$535),3,
    TRUE,""
)</f>
        <v>2</v>
      </c>
      <c r="H411" s="5"/>
      <c r="I411" s="5"/>
    </row>
    <row r="412" spans="1:9" x14ac:dyDescent="0.35">
      <c r="A412" s="1" t="s">
        <v>452</v>
      </c>
      <c r="B412" s="2">
        <v>36.930999999999997</v>
      </c>
      <c r="C412" s="2">
        <v>303.80700000000002</v>
      </c>
      <c r="D412" s="5">
        <f>+VLOOKUP(A412,Sheet6!A:D,4,0)</f>
        <v>9.5541401273885357E-2</v>
      </c>
      <c r="E412" s="5">
        <f t="shared" si="6"/>
        <v>3.5284394904458601E-3</v>
      </c>
      <c r="F412" s="5" cm="1">
        <f t="array" ref="F412">_xlfn.IFS(
    AND(C412&gt;C$535,D412&lt;D$535),1,
    AND(C412&gt;C$535,D412&gt;D$535),2,
    AND(C412&lt;C$535,D412&lt;D$535),4,
    AND(C412&lt;C$535,D412&gt;D$535),3,
    TRUE,""
)</f>
        <v>1</v>
      </c>
      <c r="H412" s="5"/>
      <c r="I412" s="5"/>
    </row>
    <row r="413" spans="1:9" x14ac:dyDescent="0.35">
      <c r="A413" s="15" t="s">
        <v>453</v>
      </c>
      <c r="B413" s="1">
        <v>5.2359999999999997E-2</v>
      </c>
      <c r="C413" s="1">
        <v>0.22134999999999999</v>
      </c>
      <c r="D413" s="5">
        <f>+VLOOKUP(A413,Sheet6!A:D,4,0)</f>
        <v>0.14457831325301207</v>
      </c>
      <c r="E413" s="5">
        <f t="shared" si="6"/>
        <v>7.5701204819277118E-6</v>
      </c>
      <c r="F413" s="5" cm="1">
        <f t="array" ref="F413">_xlfn.IFS(
    AND(C413&gt;C$535,D413&lt;D$535),1,
    AND(C413&gt;C$535,D413&gt;D$535),2,
    AND(C413&lt;C$535,D413&lt;D$535),4,
    AND(C413&lt;C$535,D413&gt;D$535),3,
    TRUE,""
)</f>
        <v>4</v>
      </c>
      <c r="H413" s="5"/>
      <c r="I413" s="5"/>
    </row>
    <row r="414" spans="1:9" x14ac:dyDescent="0.35">
      <c r="A414" s="1" t="s">
        <v>454</v>
      </c>
      <c r="B414" s="2">
        <v>59.405000000000001</v>
      </c>
      <c r="C414" s="2">
        <v>245.28200000000001</v>
      </c>
      <c r="D414" s="5">
        <f>+VLOOKUP(A414,Sheet6!A:D,4,0)</f>
        <v>0.1346613545816733</v>
      </c>
      <c r="E414" s="5">
        <f t="shared" si="6"/>
        <v>7.9995577689243036E-3</v>
      </c>
      <c r="F414" s="5" cm="1">
        <f t="array" ref="F414">_xlfn.IFS(
    AND(C414&gt;C$535,D414&lt;D$535),1,
    AND(C414&gt;C$535,D414&gt;D$535),2,
    AND(C414&lt;C$535,D414&lt;D$535),4,
    AND(C414&lt;C$535,D414&gt;D$535),3,
    TRUE,""
)</f>
        <v>1</v>
      </c>
      <c r="H414" s="5"/>
      <c r="I414" s="5"/>
    </row>
    <row r="415" spans="1:9" x14ac:dyDescent="0.35">
      <c r="A415" s="1" t="s">
        <v>24</v>
      </c>
      <c r="B415" s="2">
        <v>51.386000000000003</v>
      </c>
      <c r="C415" s="2">
        <v>247.47800000000001</v>
      </c>
      <c r="D415" s="5">
        <f>+VLOOKUP(A415,Sheet6!A:D,4,0)</f>
        <v>0.48685491723466406</v>
      </c>
      <c r="E415" s="5">
        <f t="shared" si="6"/>
        <v>2.501752677702045E-2</v>
      </c>
      <c r="F415" s="5" cm="1">
        <f t="array" ref="F415">_xlfn.IFS(
    AND(C415&gt;C$535,D415&lt;D$535),1,
    AND(C415&gt;C$535,D415&gt;D$535),2,
    AND(C415&lt;C$535,D415&lt;D$535),4,
    AND(C415&lt;C$535,D415&gt;D$535),3,
    TRUE,""
)</f>
        <v>2</v>
      </c>
      <c r="H415" s="5"/>
      <c r="I415" s="5"/>
    </row>
    <row r="416" spans="1:9" x14ac:dyDescent="0.35">
      <c r="A416" s="1" t="s">
        <v>23</v>
      </c>
      <c r="B416" s="1">
        <v>1.7219999999999999E-2</v>
      </c>
      <c r="C416" s="2">
        <v>349.94499999999999</v>
      </c>
      <c r="D416" s="5">
        <f>+VLOOKUP(A416,Sheet6!A:D,4,0)</f>
        <v>0.29600000000000004</v>
      </c>
      <c r="E416" s="5">
        <f t="shared" si="6"/>
        <v>5.0971200000000004E-6</v>
      </c>
      <c r="F416" s="5" cm="1">
        <f t="array" ref="F416">_xlfn.IFS(
    AND(C416&gt;C$535,D416&lt;D$535),1,
    AND(C416&gt;C$535,D416&gt;D$535),2,
    AND(C416&lt;C$535,D416&lt;D$535),4,
    AND(C416&lt;C$535,D416&gt;D$535),3,
    TRUE,""
)</f>
        <v>2</v>
      </c>
      <c r="H416" s="5"/>
      <c r="I416" s="5"/>
    </row>
    <row r="417" spans="1:9" ht="29" x14ac:dyDescent="0.35">
      <c r="A417" s="1" t="s">
        <v>455</v>
      </c>
      <c r="B417" s="2">
        <v>2.6160000000000001</v>
      </c>
      <c r="C417" s="1">
        <v>0.33829000000000004</v>
      </c>
      <c r="D417" s="5">
        <f>+VLOOKUP(A417,Sheet6!A:D,4,0)</f>
        <v>0</v>
      </c>
      <c r="E417" s="5">
        <f t="shared" si="6"/>
        <v>0</v>
      </c>
      <c r="F417" s="5" cm="1">
        <f t="array" ref="F417">_xlfn.IFS(
    AND(C417&gt;C$535,D417&lt;D$535),1,
    AND(C417&gt;C$535,D417&gt;D$535),2,
    AND(C417&lt;C$535,D417&lt;D$535),4,
    AND(C417&lt;C$535,D417&gt;D$535),3,
    TRUE,""
)</f>
        <v>4</v>
      </c>
      <c r="H417" s="5"/>
      <c r="I417" s="5"/>
    </row>
    <row r="418" spans="1:9" ht="29" x14ac:dyDescent="0.35">
      <c r="A418" s="1" t="s">
        <v>456</v>
      </c>
      <c r="B418" s="2">
        <v>6.8609999999999998</v>
      </c>
      <c r="C418" s="2">
        <v>214.845</v>
      </c>
      <c r="D418" s="5">
        <f>+VLOOKUP(A418,Sheet6!A:D,4,0)</f>
        <v>0.21171171171171169</v>
      </c>
      <c r="E418" s="5">
        <f t="shared" si="6"/>
        <v>1.4525540540540538E-3</v>
      </c>
      <c r="F418" s="5" cm="1">
        <f t="array" ref="F418">_xlfn.IFS(
    AND(C418&gt;C$535,D418&lt;D$535),1,
    AND(C418&gt;C$535,D418&gt;D$535),2,
    AND(C418&lt;C$535,D418&lt;D$535),4,
    AND(C418&lt;C$535,D418&gt;D$535),3,
    TRUE,""
)</f>
        <v>4</v>
      </c>
      <c r="H418" s="5"/>
      <c r="I418" s="5"/>
    </row>
    <row r="419" spans="1:9" x14ac:dyDescent="0.35">
      <c r="A419" s="1" t="s">
        <v>457</v>
      </c>
      <c r="B419" s="2">
        <v>15.456</v>
      </c>
      <c r="C419" s="2">
        <v>340.25099999999998</v>
      </c>
      <c r="D419" s="5">
        <f>+VLOOKUP(A419,Sheet6!A:D,4,0)</f>
        <v>0.10452961672473866</v>
      </c>
      <c r="E419" s="5">
        <f t="shared" si="6"/>
        <v>1.6156097560975607E-3</v>
      </c>
      <c r="F419" s="5" cm="1">
        <f t="array" ref="F419">_xlfn.IFS(
    AND(C419&gt;C$535,D419&lt;D$535),1,
    AND(C419&gt;C$535,D419&gt;D$535),2,
    AND(C419&lt;C$535,D419&lt;D$535),4,
    AND(C419&lt;C$535,D419&gt;D$535),3,
    TRUE,""
)</f>
        <v>1</v>
      </c>
      <c r="H419" s="5"/>
      <c r="I419" s="5"/>
    </row>
    <row r="420" spans="1:9" x14ac:dyDescent="0.35">
      <c r="A420" s="1" t="s">
        <v>458</v>
      </c>
      <c r="B420" s="1">
        <v>4.9199999999999999E-3</v>
      </c>
      <c r="C420" s="2">
        <v>114.035</v>
      </c>
      <c r="D420" s="5">
        <f>+VLOOKUP(A420,Sheet6!A:D,4,0)</f>
        <v>0.52112676056338025</v>
      </c>
      <c r="E420" s="5">
        <f t="shared" si="6"/>
        <v>2.5639436619718306E-6</v>
      </c>
      <c r="F420" s="5" cm="1">
        <f t="array" ref="F420">_xlfn.IFS(
    AND(C420&gt;C$535,D420&lt;D$535),1,
    AND(C420&gt;C$535,D420&gt;D$535),2,
    AND(C420&lt;C$535,D420&lt;D$535),4,
    AND(C420&lt;C$535,D420&gt;D$535),3,
    TRUE,""
)</f>
        <v>3</v>
      </c>
      <c r="H420" s="5"/>
      <c r="I420" s="5"/>
    </row>
    <row r="421" spans="1:9" x14ac:dyDescent="0.35">
      <c r="A421" s="1" t="s">
        <v>459</v>
      </c>
      <c r="B421" s="2">
        <v>2.4620000000000002</v>
      </c>
      <c r="C421" s="2">
        <v>211.245</v>
      </c>
      <c r="D421" s="5">
        <f>+VLOOKUP(A421,Sheet6!A:D,4,0)</f>
        <v>0</v>
      </c>
      <c r="E421" s="5">
        <f t="shared" si="6"/>
        <v>0</v>
      </c>
      <c r="F421" s="5" cm="1">
        <f t="array" ref="F421">_xlfn.IFS(
    AND(C421&gt;C$535,D421&lt;D$535),1,
    AND(C421&gt;C$535,D421&gt;D$535),2,
    AND(C421&lt;C$535,D421&lt;D$535),4,
    AND(C421&lt;C$535,D421&gt;D$535),3,
    TRUE,""
)</f>
        <v>4</v>
      </c>
      <c r="H421" s="5"/>
      <c r="I421" s="5"/>
    </row>
    <row r="422" spans="1:9" x14ac:dyDescent="0.35">
      <c r="A422" s="1" t="s">
        <v>460</v>
      </c>
      <c r="B422" s="2">
        <v>43.779000000000003</v>
      </c>
      <c r="C422" s="2">
        <v>195.73500000000001</v>
      </c>
      <c r="D422" s="5">
        <f>+VLOOKUP(A422,Sheet6!A:D,4,0)</f>
        <v>0.33474218089602703</v>
      </c>
      <c r="E422" s="5">
        <f t="shared" si="6"/>
        <v>1.4654677937447168E-2</v>
      </c>
      <c r="F422" s="5" cm="1">
        <f t="array" ref="F422">_xlfn.IFS(
    AND(C422&gt;C$535,D422&lt;D$535),1,
    AND(C422&gt;C$535,D422&gt;D$535),2,
    AND(C422&lt;C$535,D422&lt;D$535),4,
    AND(C422&lt;C$535,D422&gt;D$535),3,
    TRUE,""
)</f>
        <v>3</v>
      </c>
      <c r="H422" s="5"/>
      <c r="I422" s="5"/>
    </row>
    <row r="423" spans="1:9" x14ac:dyDescent="0.35">
      <c r="A423" s="1" t="s">
        <v>461</v>
      </c>
      <c r="B423" s="2">
        <v>62.747999999999998</v>
      </c>
      <c r="C423" s="2">
        <v>323.00700000000001</v>
      </c>
      <c r="D423" s="5">
        <f>+VLOOKUP(A423,Sheet6!A:D,4,0)</f>
        <v>0.1908665105386417</v>
      </c>
      <c r="E423" s="5">
        <f t="shared" si="6"/>
        <v>1.1976491803278689E-2</v>
      </c>
      <c r="F423" s="5" cm="1">
        <f t="array" ref="F423">_xlfn.IFS(
    AND(C423&gt;C$535,D423&lt;D$535),1,
    AND(C423&gt;C$535,D423&gt;D$535),2,
    AND(C423&lt;C$535,D423&lt;D$535),4,
    AND(C423&lt;C$535,D423&gt;D$535),3,
    TRUE,""
)</f>
        <v>1</v>
      </c>
      <c r="H423" s="5"/>
      <c r="I423" s="5"/>
    </row>
    <row r="424" spans="1:9" x14ac:dyDescent="0.35">
      <c r="A424" s="1" t="s">
        <v>21</v>
      </c>
      <c r="B424" s="2">
        <v>23.216000000000001</v>
      </c>
      <c r="C424" s="2">
        <v>265.63200000000001</v>
      </c>
      <c r="D424" s="5">
        <f>+VLOOKUP(A424,Sheet6!A:D,4,0)</f>
        <v>0.15960099750623444</v>
      </c>
      <c r="E424" s="5">
        <f t="shared" si="6"/>
        <v>3.7052967581047386E-3</v>
      </c>
      <c r="F424" s="5" cm="1">
        <f t="array" ref="F424">_xlfn.IFS(
    AND(C424&gt;C$535,D424&lt;D$535),1,
    AND(C424&gt;C$535,D424&gt;D$535),2,
    AND(C424&lt;C$535,D424&lt;D$535),4,
    AND(C424&lt;C$535,D424&gt;D$535),3,
    TRUE,""
)</f>
        <v>1</v>
      </c>
      <c r="H424" s="5"/>
      <c r="I424" s="5"/>
    </row>
    <row r="425" spans="1:9" x14ac:dyDescent="0.35">
      <c r="A425" s="1" t="s">
        <v>462</v>
      </c>
      <c r="B425" s="2">
        <v>11.875999999999999</v>
      </c>
      <c r="C425" s="2">
        <v>402.06400000000002</v>
      </c>
      <c r="D425" s="5">
        <f>+VLOOKUP(A425,Sheet6!A:D,4,0)</f>
        <v>0.10389610389610389</v>
      </c>
      <c r="E425" s="5">
        <f t="shared" si="6"/>
        <v>1.2338701298701298E-3</v>
      </c>
      <c r="F425" s="5" cm="1">
        <f t="array" ref="F425">_xlfn.IFS(
    AND(C425&gt;C$535,D425&lt;D$535),1,
    AND(C425&gt;C$535,D425&gt;D$535),2,
    AND(C425&lt;C$535,D425&lt;D$535),4,
    AND(C425&lt;C$535,D425&gt;D$535),3,
    TRUE,""
)</f>
        <v>1</v>
      </c>
      <c r="H425" s="5"/>
      <c r="I425" s="5"/>
    </row>
    <row r="426" spans="1:9" x14ac:dyDescent="0.35">
      <c r="A426" s="1" t="s">
        <v>463</v>
      </c>
      <c r="B426" s="2">
        <v>4.3710000000000004</v>
      </c>
      <c r="C426" s="2">
        <v>172.05699999999999</v>
      </c>
      <c r="D426" s="5">
        <f>+VLOOKUP(A426,Sheet6!A:D,4,0)</f>
        <v>0.24444444444444444</v>
      </c>
      <c r="E426" s="5">
        <f t="shared" si="6"/>
        <v>1.0684666666666667E-3</v>
      </c>
      <c r="F426" s="5" cm="1">
        <f t="array" ref="F426">_xlfn.IFS(
    AND(C426&gt;C$535,D426&lt;D$535),1,
    AND(C426&gt;C$535,D426&gt;D$535),2,
    AND(C426&lt;C$535,D426&lt;D$535),4,
    AND(C426&lt;C$535,D426&gt;D$535),3,
    TRUE,""
)</f>
        <v>4</v>
      </c>
      <c r="H426" s="5"/>
      <c r="I426" s="5"/>
    </row>
    <row r="427" spans="1:9" x14ac:dyDescent="0.35">
      <c r="A427" s="1" t="s">
        <v>20</v>
      </c>
      <c r="B427" s="2">
        <v>56.777000000000001</v>
      </c>
      <c r="C427" s="2">
        <v>251.31800000000001</v>
      </c>
      <c r="D427" s="5">
        <f>+VLOOKUP(A427,Sheet6!A:D,4,0)</f>
        <v>0.27266028002947679</v>
      </c>
      <c r="E427" s="5">
        <f t="shared" si="6"/>
        <v>1.5480832719233603E-2</v>
      </c>
      <c r="F427" s="5" cm="1">
        <f t="array" ref="F427">_xlfn.IFS(
    AND(C427&gt;C$535,D427&lt;D$535),1,
    AND(C427&gt;C$535,D427&gt;D$535),2,
    AND(C427&lt;C$535,D427&lt;D$535),4,
    AND(C427&lt;C$535,D427&gt;D$535),3,
    TRUE,""
)</f>
        <v>2</v>
      </c>
      <c r="H427" s="5"/>
      <c r="I427" s="5"/>
    </row>
    <row r="428" spans="1:9" x14ac:dyDescent="0.35">
      <c r="A428" s="1" t="s">
        <v>464</v>
      </c>
      <c r="B428" s="2">
        <v>10.441000000000001</v>
      </c>
      <c r="C428" s="2">
        <v>186.852</v>
      </c>
      <c r="D428" s="5">
        <f>+VLOOKUP(A428,Sheet6!A:D,4,0)</f>
        <v>0.23275862068965519</v>
      </c>
      <c r="E428" s="5">
        <f t="shared" si="6"/>
        <v>2.4302327586206902E-3</v>
      </c>
      <c r="F428" s="5" cm="1">
        <f t="array" ref="F428">_xlfn.IFS(
    AND(C428&gt;C$535,D428&lt;D$535),1,
    AND(C428&gt;C$535,D428&gt;D$535),2,
    AND(C428&lt;C$535,D428&lt;D$535),4,
    AND(C428&lt;C$535,D428&gt;D$535),3,
    TRUE,""
)</f>
        <v>4</v>
      </c>
      <c r="H428" s="5"/>
      <c r="I428" s="5"/>
    </row>
    <row r="429" spans="1:9" x14ac:dyDescent="0.35">
      <c r="A429" s="1" t="s">
        <v>465</v>
      </c>
      <c r="B429" s="2">
        <v>20.885000000000002</v>
      </c>
      <c r="C429" s="2">
        <v>335.55099999999999</v>
      </c>
      <c r="D429" s="5">
        <f>+VLOOKUP(A429,Sheet6!A:D,4,0)</f>
        <v>0.20529801324503311</v>
      </c>
      <c r="E429" s="5">
        <f t="shared" si="6"/>
        <v>4.2876490066225169E-3</v>
      </c>
      <c r="F429" s="5" cm="1">
        <f t="array" ref="F429">_xlfn.IFS(
    AND(C429&gt;C$535,D429&lt;D$535),1,
    AND(C429&gt;C$535,D429&gt;D$535),2,
    AND(C429&lt;C$535,D429&lt;D$535),4,
    AND(C429&lt;C$535,D429&gt;D$535),3,
    TRUE,""
)</f>
        <v>1</v>
      </c>
      <c r="H429" s="5"/>
      <c r="I429" s="5"/>
    </row>
    <row r="430" spans="1:9" x14ac:dyDescent="0.35">
      <c r="A430" s="1" t="s">
        <v>466</v>
      </c>
      <c r="B430" s="2">
        <v>37.206000000000003</v>
      </c>
      <c r="C430" s="2">
        <v>326.315</v>
      </c>
      <c r="D430" s="5">
        <f>+VLOOKUP(A430,Sheet6!A:D,4,0)</f>
        <v>0.14413075780089152</v>
      </c>
      <c r="E430" s="5">
        <f t="shared" si="6"/>
        <v>5.3625289747399711E-3</v>
      </c>
      <c r="F430" s="5" cm="1">
        <f t="array" ref="F430">_xlfn.IFS(
    AND(C430&gt;C$535,D430&lt;D$535),1,
    AND(C430&gt;C$535,D430&gt;D$535),2,
    AND(C430&lt;C$535,D430&lt;D$535),4,
    AND(C430&lt;C$535,D430&gt;D$535),3,
    TRUE,""
)</f>
        <v>1</v>
      </c>
      <c r="H430" s="5"/>
      <c r="I430" s="5"/>
    </row>
    <row r="431" spans="1:9" x14ac:dyDescent="0.35">
      <c r="A431" s="1" t="s">
        <v>467</v>
      </c>
      <c r="B431" s="2">
        <v>13.106</v>
      </c>
      <c r="C431" s="2">
        <v>399.74599999999998</v>
      </c>
      <c r="D431" s="5">
        <f>+VLOOKUP(A431,Sheet6!A:D,4,0)</f>
        <v>0.22957198443579765</v>
      </c>
      <c r="E431" s="5">
        <f t="shared" si="6"/>
        <v>3.008770428015564E-3</v>
      </c>
      <c r="F431" s="5" cm="1">
        <f t="array" ref="F431">_xlfn.IFS(
    AND(C431&gt;C$535,D431&lt;D$535),1,
    AND(C431&gt;C$535,D431&gt;D$535),2,
    AND(C431&lt;C$535,D431&lt;D$535),4,
    AND(C431&lt;C$535,D431&gt;D$535),3,
    TRUE,""
)</f>
        <v>1</v>
      </c>
      <c r="H431" s="5"/>
      <c r="I431" s="5"/>
    </row>
    <row r="432" spans="1:9" x14ac:dyDescent="0.35">
      <c r="A432" s="1" t="s">
        <v>19</v>
      </c>
      <c r="B432" s="2">
        <v>11.725</v>
      </c>
      <c r="C432" s="2">
        <v>264.64800000000002</v>
      </c>
      <c r="D432" s="5">
        <f>+VLOOKUP(A432,Sheet6!A:D,4,0)</f>
        <v>0.18695652173913044</v>
      </c>
      <c r="E432" s="5">
        <f t="shared" si="6"/>
        <v>2.1920652173913046E-3</v>
      </c>
      <c r="F432" s="5" cm="1">
        <f t="array" ref="F432">_xlfn.IFS(
    AND(C432&gt;C$535,D432&lt;D$535),1,
    AND(C432&gt;C$535,D432&gt;D$535),2,
    AND(C432&lt;C$535,D432&lt;D$535),4,
    AND(C432&lt;C$535,D432&gt;D$535),3,
    TRUE,""
)</f>
        <v>1</v>
      </c>
      <c r="H432" s="5"/>
      <c r="I432" s="5"/>
    </row>
    <row r="433" spans="1:9" ht="29" x14ac:dyDescent="0.35">
      <c r="A433" s="1" t="s">
        <v>468</v>
      </c>
      <c r="B433" s="2">
        <v>69.492000000000004</v>
      </c>
      <c r="C433" s="2">
        <v>231.65299999999999</v>
      </c>
      <c r="D433" s="5">
        <f>+VLOOKUP(A433,Sheet6!A:D,4,0)</f>
        <v>0.13703443429374559</v>
      </c>
      <c r="E433" s="5">
        <f t="shared" si="6"/>
        <v>9.5227969079409707E-3</v>
      </c>
      <c r="F433" s="5" cm="1">
        <f t="array" ref="F433">_xlfn.IFS(
    AND(C433&gt;C$535,D433&lt;D$535),1,
    AND(C433&gt;C$535,D433&gt;D$535),2,
    AND(C433&lt;C$535,D433&lt;D$535),4,
    AND(C433&lt;C$535,D433&gt;D$535),3,
    TRUE,""
)</f>
        <v>4</v>
      </c>
      <c r="H433" s="5"/>
      <c r="I433" s="5"/>
    </row>
    <row r="434" spans="1:9" x14ac:dyDescent="0.35">
      <c r="A434" s="1" t="s">
        <v>469</v>
      </c>
      <c r="B434" s="2">
        <v>48.363</v>
      </c>
      <c r="C434" s="2">
        <v>114.014</v>
      </c>
      <c r="D434" s="5">
        <f>+VLOOKUP(A434,Sheet6!A:D,4,0)</f>
        <v>0.34519303557910669</v>
      </c>
      <c r="E434" s="5">
        <f t="shared" si="6"/>
        <v>1.6694570779712335E-2</v>
      </c>
      <c r="F434" s="5" cm="1">
        <f t="array" ref="F434">_xlfn.IFS(
    AND(C434&gt;C$535,D434&lt;D$535),1,
    AND(C434&gt;C$535,D434&gt;D$535),2,
    AND(C434&lt;C$535,D434&lt;D$535),4,
    AND(C434&lt;C$535,D434&gt;D$535),3,
    TRUE,""
)</f>
        <v>3</v>
      </c>
      <c r="H434" s="5"/>
      <c r="I434" s="5"/>
    </row>
    <row r="435" spans="1:9" x14ac:dyDescent="0.35">
      <c r="A435" s="1" t="s">
        <v>18</v>
      </c>
      <c r="B435" s="2">
        <v>9.5890000000000004</v>
      </c>
      <c r="C435" s="2">
        <v>250.601</v>
      </c>
      <c r="D435" s="5">
        <f>+VLOOKUP(A435,Sheet6!A:D,4,0)</f>
        <v>0.18120805369127518</v>
      </c>
      <c r="E435" s="5">
        <f t="shared" si="6"/>
        <v>1.7376040268456379E-3</v>
      </c>
      <c r="F435" s="5" cm="1">
        <f t="array" ref="F435">_xlfn.IFS(
    AND(C435&gt;C$535,D435&lt;D$535),1,
    AND(C435&gt;C$535,D435&gt;D$535),2,
    AND(C435&lt;C$535,D435&lt;D$535),4,
    AND(C435&lt;C$535,D435&gt;D$535),3,
    TRUE,""
)</f>
        <v>1</v>
      </c>
      <c r="H435" s="5"/>
      <c r="I435" s="5"/>
    </row>
    <row r="436" spans="1:9" x14ac:dyDescent="0.35">
      <c r="A436" s="1" t="s">
        <v>470</v>
      </c>
      <c r="B436" s="2">
        <v>8.1259999999999994</v>
      </c>
      <c r="C436" s="2">
        <v>276.01799999999997</v>
      </c>
      <c r="D436" s="5">
        <f>+VLOOKUP(A436,Sheet6!A:D,4,0)</f>
        <v>0.29411764705882354</v>
      </c>
      <c r="E436" s="5">
        <f t="shared" si="6"/>
        <v>2.3900000000000002E-3</v>
      </c>
      <c r="F436" s="5" cm="1">
        <f t="array" ref="F436">_xlfn.IFS(
    AND(C436&gt;C$535,D436&lt;D$535),1,
    AND(C436&gt;C$535,D436&gt;D$535),2,
    AND(C436&lt;C$535,D436&lt;D$535),4,
    AND(C436&lt;C$535,D436&gt;D$535),3,
    TRUE,""
)</f>
        <v>2</v>
      </c>
      <c r="H436" s="5"/>
      <c r="I436" s="5"/>
    </row>
    <row r="437" spans="1:9" ht="29" x14ac:dyDescent="0.35">
      <c r="A437" s="1" t="s">
        <v>471</v>
      </c>
      <c r="B437" s="2">
        <v>7.0060000000000002</v>
      </c>
      <c r="C437" s="2">
        <v>115.623</v>
      </c>
      <c r="D437" s="5">
        <f>+VLOOKUP(A437,Sheet6!A:D,4,0)</f>
        <v>0.48936170212765961</v>
      </c>
      <c r="E437" s="5">
        <f t="shared" si="6"/>
        <v>3.4284680851063834E-3</v>
      </c>
      <c r="F437" s="5" cm="1">
        <f t="array" ref="F437">_xlfn.IFS(
    AND(C437&gt;C$535,D437&lt;D$535),1,
    AND(C437&gt;C$535,D437&gt;D$535),2,
    AND(C437&lt;C$535,D437&lt;D$535),4,
    AND(C437&lt;C$535,D437&gt;D$535),3,
    TRUE,""
)</f>
        <v>3</v>
      </c>
      <c r="H437" s="5"/>
      <c r="I437" s="5"/>
    </row>
    <row r="438" spans="1:9" x14ac:dyDescent="0.35">
      <c r="A438" s="1" t="s">
        <v>472</v>
      </c>
      <c r="B438" s="2">
        <v>28.093</v>
      </c>
      <c r="C438" s="2">
        <v>239.20599999999999</v>
      </c>
      <c r="D438" s="5">
        <f>+VLOOKUP(A438,Sheet6!A:D,4,0)</f>
        <v>0.19592298980747452</v>
      </c>
      <c r="E438" s="5">
        <f t="shared" si="6"/>
        <v>5.5040645526613823E-3</v>
      </c>
      <c r="F438" s="5" cm="1">
        <f t="array" ref="F438">_xlfn.IFS(
    AND(C438&gt;C$535,D438&lt;D$535),1,
    AND(C438&gt;C$535,D438&gt;D$535),2,
    AND(C438&lt;C$535,D438&lt;D$535),4,
    AND(C438&lt;C$535,D438&gt;D$535),3,
    TRUE,""
)</f>
        <v>1</v>
      </c>
      <c r="H438" s="5"/>
      <c r="I438" s="5"/>
    </row>
    <row r="439" spans="1:9" x14ac:dyDescent="0.35">
      <c r="A439" s="1" t="s">
        <v>17</v>
      </c>
      <c r="B439" s="2">
        <v>13.651</v>
      </c>
      <c r="C439" s="1">
        <v>0.22972000000000001</v>
      </c>
      <c r="D439" s="5">
        <f>+VLOOKUP(A439,Sheet6!A:D,4,0)</f>
        <v>0.18749999999999997</v>
      </c>
      <c r="E439" s="5">
        <f t="shared" si="6"/>
        <v>2.5595624999999998E-3</v>
      </c>
      <c r="F439" s="5" cm="1">
        <f t="array" ref="F439">_xlfn.IFS(
    AND(C439&gt;C$535,D439&lt;D$535),1,
    AND(C439&gt;C$535,D439&gt;D$535),2,
    AND(C439&lt;C$535,D439&lt;D$535),4,
    AND(C439&lt;C$535,D439&gt;D$535),3,
    TRUE,""
)</f>
        <v>4</v>
      </c>
      <c r="H439" s="5"/>
      <c r="I439" s="5"/>
    </row>
    <row r="440" spans="1:9" x14ac:dyDescent="0.35">
      <c r="A440" s="1" t="s">
        <v>473</v>
      </c>
      <c r="B440" s="2">
        <v>9.3610000000000007</v>
      </c>
      <c r="C440" s="2">
        <v>177.85900000000001</v>
      </c>
      <c r="D440" s="5">
        <f>+VLOOKUP(A440,Sheet6!A:D,4,0)</f>
        <v>0.15770609318996415</v>
      </c>
      <c r="E440" s="5">
        <f t="shared" si="6"/>
        <v>1.4762867383512545E-3</v>
      </c>
      <c r="F440" s="5" cm="1">
        <f t="array" ref="F440">_xlfn.IFS(
    AND(C440&gt;C$535,D440&lt;D$535),1,
    AND(C440&gt;C$535,D440&gt;D$535),2,
    AND(C440&lt;C$535,D440&lt;D$535),4,
    AND(C440&lt;C$535,D440&gt;D$535),3,
    TRUE,""
)</f>
        <v>4</v>
      </c>
      <c r="H440" s="5"/>
      <c r="I440" s="5"/>
    </row>
    <row r="441" spans="1:9" x14ac:dyDescent="0.35">
      <c r="A441" s="1" t="s">
        <v>474</v>
      </c>
      <c r="B441" s="2">
        <v>14.201000000000001</v>
      </c>
      <c r="C441" s="2">
        <v>181.11799999999999</v>
      </c>
      <c r="D441" s="5">
        <f>+VLOOKUP(A441,Sheet6!A:D,4,0)</f>
        <v>0.41343669250645998</v>
      </c>
      <c r="E441" s="5">
        <f t="shared" si="6"/>
        <v>5.8712144702842382E-3</v>
      </c>
      <c r="F441" s="5" cm="1">
        <f t="array" ref="F441">_xlfn.IFS(
    AND(C441&gt;C$535,D441&lt;D$535),1,
    AND(C441&gt;C$535,D441&gt;D$535),2,
    AND(C441&lt;C$535,D441&lt;D$535),4,
    AND(C441&lt;C$535,D441&gt;D$535),3,
    TRUE,""
)</f>
        <v>3</v>
      </c>
      <c r="H441" s="5"/>
      <c r="I441" s="5"/>
    </row>
    <row r="442" spans="1:9" x14ac:dyDescent="0.35">
      <c r="A442" s="1" t="s">
        <v>475</v>
      </c>
      <c r="B442" s="2">
        <v>3.5139999999999998</v>
      </c>
      <c r="C442" s="2">
        <v>156.81200000000001</v>
      </c>
      <c r="D442" s="5">
        <f>+VLOOKUP(A442,Sheet6!A:D,4,0)</f>
        <v>0.3202614379084967</v>
      </c>
      <c r="E442" s="5">
        <f t="shared" si="6"/>
        <v>1.1253986928104573E-3</v>
      </c>
      <c r="F442" s="5" cm="1">
        <f t="array" ref="F442">_xlfn.IFS(
    AND(C442&gt;C$535,D442&lt;D$535),1,
    AND(C442&gt;C$535,D442&gt;D$535),2,
    AND(C442&lt;C$535,D442&lt;D$535),4,
    AND(C442&lt;C$535,D442&gt;D$535),3,
    TRUE,""
)</f>
        <v>3</v>
      </c>
      <c r="H442" s="5"/>
      <c r="I442" s="5"/>
    </row>
    <row r="443" spans="1:9" x14ac:dyDescent="0.35">
      <c r="A443" s="1" t="s">
        <v>476</v>
      </c>
      <c r="B443" s="2">
        <v>12.055</v>
      </c>
      <c r="C443" s="2">
        <v>295.63900000000001</v>
      </c>
      <c r="D443" s="5">
        <f>+VLOOKUP(A443,Sheet6!A:D,4,0)</f>
        <v>0.25</v>
      </c>
      <c r="E443" s="5">
        <f t="shared" si="6"/>
        <v>3.0137499999999999E-3</v>
      </c>
      <c r="F443" s="5" cm="1">
        <f t="array" ref="F443">_xlfn.IFS(
    AND(C443&gt;C$535,D443&lt;D$535),1,
    AND(C443&gt;C$535,D443&gt;D$535),2,
    AND(C443&lt;C$535,D443&lt;D$535),4,
    AND(C443&lt;C$535,D443&gt;D$535),3,
    TRUE,""
)</f>
        <v>1</v>
      </c>
      <c r="H443" s="5"/>
      <c r="I443" s="5"/>
    </row>
    <row r="444" spans="1:9" x14ac:dyDescent="0.35">
      <c r="A444" s="1" t="s">
        <v>477</v>
      </c>
      <c r="B444" s="2">
        <v>43.067</v>
      </c>
      <c r="C444" s="2">
        <v>300.137</v>
      </c>
      <c r="D444" s="5">
        <f>+VLOOKUP(A444,Sheet6!A:D,4,0)</f>
        <v>0.24064171122994651</v>
      </c>
      <c r="E444" s="5">
        <f t="shared" si="6"/>
        <v>1.0363716577540106E-2</v>
      </c>
      <c r="F444" s="5" cm="1">
        <f t="array" ref="F444">_xlfn.IFS(
    AND(C444&gt;C$535,D444&lt;D$535),1,
    AND(C444&gt;C$535,D444&gt;D$535),2,
    AND(C444&lt;C$535,D444&lt;D$535),4,
    AND(C444&lt;C$535,D444&gt;D$535),3,
    TRUE,""
)</f>
        <v>1</v>
      </c>
      <c r="H444" s="5"/>
      <c r="I444" s="5"/>
    </row>
    <row r="445" spans="1:9" x14ac:dyDescent="0.35">
      <c r="A445" s="1" t="s">
        <v>478</v>
      </c>
      <c r="B445" s="1">
        <v>2.8799999999999997E-3</v>
      </c>
      <c r="C445" s="2">
        <v>173.602</v>
      </c>
      <c r="D445" s="5">
        <f>+VLOOKUP(A445,Sheet6!A:D,4,0)</f>
        <v>0.45283018867924524</v>
      </c>
      <c r="E445" s="5">
        <f t="shared" si="6"/>
        <v>1.3041509433962261E-6</v>
      </c>
      <c r="F445" s="5" cm="1">
        <f t="array" ref="F445">_xlfn.IFS(
    AND(C445&gt;C$535,D445&lt;D$535),1,
    AND(C445&gt;C$535,D445&gt;D$535),2,
    AND(C445&lt;C$535,D445&lt;D$535),4,
    AND(C445&lt;C$535,D445&gt;D$535),3,
    TRUE,""
)</f>
        <v>3</v>
      </c>
      <c r="H445" s="5"/>
      <c r="I445" s="5"/>
    </row>
    <row r="446" spans="1:9" x14ac:dyDescent="0.35">
      <c r="A446" s="1" t="s">
        <v>16</v>
      </c>
      <c r="B446" s="2">
        <v>30.704999999999998</v>
      </c>
      <c r="C446" s="2">
        <v>243.90299999999999</v>
      </c>
      <c r="D446" s="5">
        <f>+VLOOKUP(A446,Sheet6!A:D,4,0)</f>
        <v>0.29572649572649573</v>
      </c>
      <c r="E446" s="5">
        <f t="shared" si="6"/>
        <v>9.0802820512820518E-3</v>
      </c>
      <c r="F446" s="5" cm="1">
        <f t="array" ref="F446">_xlfn.IFS(
    AND(C446&gt;C$535,D446&lt;D$535),1,
    AND(C446&gt;C$535,D446&gt;D$535),2,
    AND(C446&lt;C$535,D446&lt;D$535),4,
    AND(C446&lt;C$535,D446&gt;D$535),3,
    TRUE,""
)</f>
        <v>2</v>
      </c>
      <c r="H446" s="5"/>
      <c r="I446" s="5"/>
    </row>
    <row r="447" spans="1:9" x14ac:dyDescent="0.35">
      <c r="A447" s="1" t="s">
        <v>479</v>
      </c>
      <c r="B447" s="2">
        <v>2.8759999999999999</v>
      </c>
      <c r="C447" s="2">
        <v>174.19900000000001</v>
      </c>
      <c r="D447" s="5">
        <f>+VLOOKUP(A447,Sheet6!A:D,4,0)</f>
        <v>0.1818181818181818</v>
      </c>
      <c r="E447" s="5">
        <f t="shared" si="6"/>
        <v>5.2290909090909091E-4</v>
      </c>
      <c r="F447" s="5" cm="1">
        <f t="array" ref="F447">_xlfn.IFS(
    AND(C447&gt;C$535,D447&lt;D$535),1,
    AND(C447&gt;C$535,D447&gt;D$535),2,
    AND(C447&lt;C$535,D447&lt;D$535),4,
    AND(C447&lt;C$535,D447&gt;D$535),3,
    TRUE,""
)</f>
        <v>4</v>
      </c>
      <c r="H447" s="5"/>
      <c r="I447" s="5"/>
    </row>
    <row r="448" spans="1:9" x14ac:dyDescent="0.35">
      <c r="A448" s="1" t="s">
        <v>480</v>
      </c>
      <c r="B448" s="2">
        <v>15.012</v>
      </c>
      <c r="C448" s="2">
        <v>354.97699999999998</v>
      </c>
      <c r="D448" s="5">
        <f>+VLOOKUP(A448,Sheet6!A:D,4,0)</f>
        <v>0.1461864406779661</v>
      </c>
      <c r="E448" s="5">
        <f t="shared" si="6"/>
        <v>2.194550847457627E-3</v>
      </c>
      <c r="F448" s="5" cm="1">
        <f t="array" ref="F448">_xlfn.IFS(
    AND(C448&gt;C$535,D448&lt;D$535),1,
    AND(C448&gt;C$535,D448&gt;D$535),2,
    AND(C448&lt;C$535,D448&lt;D$535),4,
    AND(C448&lt;C$535,D448&gt;D$535),3,
    TRUE,""
)</f>
        <v>1</v>
      </c>
      <c r="H448" s="5"/>
      <c r="I448" s="5"/>
    </row>
    <row r="449" spans="1:9" x14ac:dyDescent="0.35">
      <c r="A449" s="1" t="s">
        <v>481</v>
      </c>
      <c r="B449" s="2">
        <v>59.478999999999999</v>
      </c>
      <c r="C449" s="1">
        <v>0.14219999999999999</v>
      </c>
      <c r="D449" s="5">
        <f>+VLOOKUP(A449,Sheet6!A:D,4,0)</f>
        <v>0.26840490797546013</v>
      </c>
      <c r="E449" s="5">
        <f t="shared" si="6"/>
        <v>1.5964455521472392E-2</v>
      </c>
      <c r="F449" s="5" cm="1">
        <f t="array" ref="F449">_xlfn.IFS(
    AND(C449&gt;C$535,D449&lt;D$535),1,
    AND(C449&gt;C$535,D449&gt;D$535),2,
    AND(C449&lt;C$535,D449&lt;D$535),4,
    AND(C449&lt;C$535,D449&gt;D$535),3,
    TRUE,""
)</f>
        <v>3</v>
      </c>
      <c r="H449" s="5"/>
      <c r="I449" s="5"/>
    </row>
    <row r="450" spans="1:9" x14ac:dyDescent="0.35">
      <c r="A450" s="1" t="s">
        <v>482</v>
      </c>
      <c r="B450" s="2">
        <v>12.638999999999999</v>
      </c>
      <c r="C450" s="2">
        <v>381.90800000000002</v>
      </c>
      <c r="D450" s="5">
        <f>+VLOOKUP(A450,Sheet6!A:D,4,0)</f>
        <v>9.6000000000000002E-2</v>
      </c>
      <c r="E450" s="5">
        <f t="shared" ref="E450:E513" si="7">(B450*D450)/1000</f>
        <v>1.2133439999999999E-3</v>
      </c>
      <c r="F450" s="5" cm="1">
        <f t="array" ref="F450">_xlfn.IFS(
    AND(C450&gt;C$535,D450&lt;D$535),1,
    AND(C450&gt;C$535,D450&gt;D$535),2,
    AND(C450&lt;C$535,D450&lt;D$535),4,
    AND(C450&lt;C$535,D450&gt;D$535),3,
    TRUE,""
)</f>
        <v>1</v>
      </c>
      <c r="H450" s="5"/>
      <c r="I450" s="5"/>
    </row>
    <row r="451" spans="1:9" x14ac:dyDescent="0.35">
      <c r="A451" s="1" t="s">
        <v>483</v>
      </c>
      <c r="B451" s="2">
        <v>40.235999999999997</v>
      </c>
      <c r="C451" s="2">
        <v>251.965</v>
      </c>
      <c r="D451" s="5">
        <f>+VLOOKUP(A451,Sheet6!A:D,4,0)</f>
        <v>0.33116883116883111</v>
      </c>
      <c r="E451" s="5">
        <f t="shared" si="7"/>
        <v>1.3324909090909089E-2</v>
      </c>
      <c r="F451" s="5" cm="1">
        <f t="array" ref="F451">_xlfn.IFS(
    AND(C451&gt;C$535,D451&lt;D$535),1,
    AND(C451&gt;C$535,D451&gt;D$535),2,
    AND(C451&lt;C$535,D451&lt;D$535),4,
    AND(C451&lt;C$535,D451&gt;D$535),3,
    TRUE,""
)</f>
        <v>2</v>
      </c>
      <c r="H451" s="5"/>
      <c r="I451" s="5"/>
    </row>
    <row r="452" spans="1:9" x14ac:dyDescent="0.35">
      <c r="A452" s="1" t="s">
        <v>484</v>
      </c>
      <c r="B452" s="2">
        <v>63.000999999999998</v>
      </c>
      <c r="C452" s="2">
        <v>316.71199999999999</v>
      </c>
      <c r="D452" s="5">
        <f>+VLOOKUP(A452,Sheet6!A:D,4,0)</f>
        <v>0.18384766907419564</v>
      </c>
      <c r="E452" s="5">
        <f t="shared" si="7"/>
        <v>1.1582586999343399E-2</v>
      </c>
      <c r="F452" s="5" cm="1">
        <f t="array" ref="F452">_xlfn.IFS(
    AND(C452&gt;C$535,D452&lt;D$535),1,
    AND(C452&gt;C$535,D452&gt;D$535),2,
    AND(C452&lt;C$535,D452&lt;D$535),4,
    AND(C452&lt;C$535,D452&gt;D$535),3,
    TRUE,""
)</f>
        <v>1</v>
      </c>
      <c r="H452" s="5"/>
      <c r="I452" s="5"/>
    </row>
    <row r="453" spans="1:9" x14ac:dyDescent="0.35">
      <c r="A453" s="1" t="s">
        <v>485</v>
      </c>
      <c r="B453" s="1">
        <v>4.2099999999999999E-2</v>
      </c>
      <c r="C453" s="2">
        <v>251.40100000000001</v>
      </c>
      <c r="D453" s="5">
        <f>+VLOOKUP(A453,Sheet6!A:D,4,0)</f>
        <v>0.12672176308539942</v>
      </c>
      <c r="E453" s="5">
        <f t="shared" si="7"/>
        <v>5.3349862258953156E-6</v>
      </c>
      <c r="F453" s="5" cm="1">
        <f t="array" ref="F453">_xlfn.IFS(
    AND(C453&gt;C$535,D453&lt;D$535),1,
    AND(C453&gt;C$535,D453&gt;D$535),2,
    AND(C453&lt;C$535,D453&lt;D$535),4,
    AND(C453&lt;C$535,D453&gt;D$535),3,
    TRUE,""
)</f>
        <v>1</v>
      </c>
      <c r="H453" s="5"/>
      <c r="I453" s="5"/>
    </row>
    <row r="454" spans="1:9" x14ac:dyDescent="0.35">
      <c r="A454" s="1" t="s">
        <v>486</v>
      </c>
      <c r="B454" s="2">
        <v>62.067999999999998</v>
      </c>
      <c r="C454" s="2">
        <v>267.11099999999999</v>
      </c>
      <c r="D454" s="5">
        <f>+VLOOKUP(A454,Sheet6!A:D,4,0)</f>
        <v>0.20836891545687444</v>
      </c>
      <c r="E454" s="5">
        <f t="shared" si="7"/>
        <v>1.2933041844577282E-2</v>
      </c>
      <c r="F454" s="5" cm="1">
        <f t="array" ref="F454">_xlfn.IFS(
    AND(C454&gt;C$535,D454&lt;D$535),1,
    AND(C454&gt;C$535,D454&gt;D$535),2,
    AND(C454&lt;C$535,D454&lt;D$535),4,
    AND(C454&lt;C$535,D454&gt;D$535),3,
    TRUE,""
)</f>
        <v>1</v>
      </c>
      <c r="H454" s="5"/>
      <c r="I454" s="5"/>
    </row>
    <row r="455" spans="1:9" x14ac:dyDescent="0.35">
      <c r="A455" s="1" t="s">
        <v>487</v>
      </c>
      <c r="B455" s="2">
        <v>5.4710000000000001</v>
      </c>
      <c r="C455" s="2">
        <v>191.375</v>
      </c>
      <c r="D455" s="5">
        <f>+VLOOKUP(A455,Sheet6!A:D,4,0)</f>
        <v>0.42168674698795178</v>
      </c>
      <c r="E455" s="5">
        <f t="shared" si="7"/>
        <v>2.3070481927710846E-3</v>
      </c>
      <c r="F455" s="5" cm="1">
        <f t="array" ref="F455">_xlfn.IFS(
    AND(C455&gt;C$535,D455&lt;D$535),1,
    AND(C455&gt;C$535,D455&gt;D$535),2,
    AND(C455&lt;C$535,D455&lt;D$535),4,
    AND(C455&lt;C$535,D455&gt;D$535),3,
    TRUE,""
)</f>
        <v>3</v>
      </c>
      <c r="H455" s="5"/>
      <c r="I455" s="5"/>
    </row>
    <row r="456" spans="1:9" x14ac:dyDescent="0.35">
      <c r="A456" s="1" t="s">
        <v>488</v>
      </c>
      <c r="B456" s="2">
        <v>10.275</v>
      </c>
      <c r="C456" s="2">
        <v>288.37599999999998</v>
      </c>
      <c r="D456" s="5">
        <f>+VLOOKUP(A456,Sheet6!A:D,4,0)</f>
        <v>0.30063291139240506</v>
      </c>
      <c r="E456" s="5">
        <f t="shared" si="7"/>
        <v>3.0890031645569621E-3</v>
      </c>
      <c r="F456" s="5" cm="1">
        <f t="array" ref="F456">_xlfn.IFS(
    AND(C456&gt;C$535,D456&lt;D$535),1,
    AND(C456&gt;C$535,D456&gt;D$535),2,
    AND(C456&lt;C$535,D456&lt;D$535),4,
    AND(C456&lt;C$535,D456&gt;D$535),3,
    TRUE,""
)</f>
        <v>2</v>
      </c>
      <c r="H456" s="5"/>
      <c r="I456" s="5"/>
    </row>
    <row r="457" spans="1:9" x14ac:dyDescent="0.35">
      <c r="A457" s="1" t="s">
        <v>15</v>
      </c>
      <c r="B457" s="2">
        <v>23.286000000000001</v>
      </c>
      <c r="C457" s="2">
        <v>222.536</v>
      </c>
      <c r="D457" s="5">
        <f>+VLOOKUP(A457,Sheet6!A:D,4,0)</f>
        <v>0</v>
      </c>
      <c r="E457" s="5">
        <f t="shared" si="7"/>
        <v>0</v>
      </c>
      <c r="F457" s="5" cm="1">
        <f t="array" ref="F457">_xlfn.IFS(
    AND(C457&gt;C$535,D457&lt;D$535),1,
    AND(C457&gt;C$535,D457&gt;D$535),2,
    AND(C457&lt;C$535,D457&lt;D$535),4,
    AND(C457&lt;C$535,D457&gt;D$535),3,
    TRUE,""
)</f>
        <v>4</v>
      </c>
      <c r="H457" s="5"/>
      <c r="I457" s="5"/>
    </row>
    <row r="458" spans="1:9" x14ac:dyDescent="0.35">
      <c r="A458" s="1" t="s">
        <v>489</v>
      </c>
      <c r="B458" s="2">
        <v>69.349000000000004</v>
      </c>
      <c r="C458" s="2">
        <v>245.929</v>
      </c>
      <c r="D458" s="5">
        <f>+VLOOKUP(A458,Sheet6!A:D,4,0)</f>
        <v>0.13501291989664083</v>
      </c>
      <c r="E458" s="5">
        <f t="shared" si="7"/>
        <v>9.3630109819121451E-3</v>
      </c>
      <c r="F458" s="5" cm="1">
        <f t="array" ref="F458">_xlfn.IFS(
    AND(C458&gt;C$535,D458&lt;D$535),1,
    AND(C458&gt;C$535,D458&gt;D$535),2,
    AND(C458&lt;C$535,D458&lt;D$535),4,
    AND(C458&lt;C$535,D458&gt;D$535),3,
    TRUE,""
)</f>
        <v>1</v>
      </c>
      <c r="H458" s="5"/>
      <c r="I458" s="5"/>
    </row>
    <row r="459" spans="1:9" ht="29" x14ac:dyDescent="0.35">
      <c r="A459" s="1" t="s">
        <v>490</v>
      </c>
      <c r="B459" s="2">
        <v>1.288</v>
      </c>
      <c r="C459" s="2">
        <v>317.57900000000001</v>
      </c>
      <c r="D459" s="5">
        <f>+VLOOKUP(A459,Sheet6!A:D,4,0)</f>
        <v>0</v>
      </c>
      <c r="E459" s="5">
        <f t="shared" si="7"/>
        <v>0</v>
      </c>
      <c r="F459" s="5" cm="1">
        <f t="array" ref="F459">_xlfn.IFS(
    AND(C459&gt;C$535,D459&lt;D$535),1,
    AND(C459&gt;C$535,D459&gt;D$535),2,
    AND(C459&lt;C$535,D459&lt;D$535),4,
    AND(C459&lt;C$535,D459&gt;D$535),3,
    TRUE,""
)</f>
        <v>1</v>
      </c>
      <c r="H459" s="5"/>
      <c r="I459" s="5"/>
    </row>
    <row r="460" spans="1:9" x14ac:dyDescent="0.35">
      <c r="A460" s="1" t="s">
        <v>491</v>
      </c>
      <c r="B460" s="2">
        <v>12.297000000000001</v>
      </c>
      <c r="C460" s="2">
        <v>197.77500000000001</v>
      </c>
      <c r="D460" s="5">
        <f>+VLOOKUP(A460,Sheet6!A:D,4,0)</f>
        <v>0.24758842443729906</v>
      </c>
      <c r="E460" s="5">
        <f t="shared" si="7"/>
        <v>3.0445948553054665E-3</v>
      </c>
      <c r="F460" s="5" cm="1">
        <f t="array" ref="F460">_xlfn.IFS(
    AND(C460&gt;C$535,D460&lt;D$535),1,
    AND(C460&gt;C$535,D460&gt;D$535),2,
    AND(C460&lt;C$535,D460&lt;D$535),4,
    AND(C460&lt;C$535,D460&gt;D$535),3,
    TRUE,""
)</f>
        <v>4</v>
      </c>
      <c r="H460" s="5"/>
      <c r="I460" s="5"/>
    </row>
    <row r="461" spans="1:9" ht="29" x14ac:dyDescent="0.35">
      <c r="A461" s="1" t="s">
        <v>492</v>
      </c>
      <c r="B461" s="2">
        <v>7.4770000000000003</v>
      </c>
      <c r="C461" s="2">
        <v>331.53199999999998</v>
      </c>
      <c r="D461" s="5">
        <f>+VLOOKUP(A461,Sheet6!A:D,4,0)</f>
        <v>8.0808080808080815E-2</v>
      </c>
      <c r="E461" s="5">
        <f t="shared" si="7"/>
        <v>6.0420202020202026E-4</v>
      </c>
      <c r="F461" s="5" cm="1">
        <f t="array" ref="F461">_xlfn.IFS(
    AND(C461&gt;C$535,D461&lt;D$535),1,
    AND(C461&gt;C$535,D461&gt;D$535),2,
    AND(C461&lt;C$535,D461&lt;D$535),4,
    AND(C461&lt;C$535,D461&gt;D$535),3,
    TRUE,""
)</f>
        <v>1</v>
      </c>
      <c r="H461" s="5"/>
      <c r="I461" s="5"/>
    </row>
    <row r="462" spans="1:9" x14ac:dyDescent="0.35">
      <c r="A462" s="1" t="s">
        <v>14</v>
      </c>
      <c r="B462" s="2">
        <v>11.263</v>
      </c>
      <c r="C462" s="2">
        <v>214.59299999999999</v>
      </c>
      <c r="D462" s="5">
        <f>+VLOOKUP(A462,Sheet6!A:D,4,0)</f>
        <v>0.19205298013245031</v>
      </c>
      <c r="E462" s="5">
        <f t="shared" si="7"/>
        <v>2.163092715231788E-3</v>
      </c>
      <c r="F462" s="5" cm="1">
        <f t="array" ref="F462">_xlfn.IFS(
    AND(C462&gt;C$535,D462&lt;D$535),1,
    AND(C462&gt;C$535,D462&gt;D$535),2,
    AND(C462&lt;C$535,D462&lt;D$535),4,
    AND(C462&lt;C$535,D462&gt;D$535),3,
    TRUE,""
)</f>
        <v>4</v>
      </c>
      <c r="H462" s="5"/>
      <c r="I462" s="5"/>
    </row>
    <row r="463" spans="1:9" x14ac:dyDescent="0.35">
      <c r="A463" s="1" t="s">
        <v>493</v>
      </c>
      <c r="B463" s="2">
        <v>78.924000000000007</v>
      </c>
      <c r="C463" s="2">
        <v>235.518</v>
      </c>
      <c r="D463" s="5">
        <f>+VLOOKUP(A463,Sheet6!A:D,4,0)</f>
        <v>0.18015824710894704</v>
      </c>
      <c r="E463" s="5">
        <f t="shared" si="7"/>
        <v>1.4218809494826538E-2</v>
      </c>
      <c r="F463" s="5" cm="1">
        <f t="array" ref="F463">_xlfn.IFS(
    AND(C463&gt;C$535,D463&lt;D$535),1,
    AND(C463&gt;C$535,D463&gt;D$535),2,
    AND(C463&lt;C$535,D463&lt;D$535),4,
    AND(C463&lt;C$535,D463&gt;D$535),3,
    TRUE,""
)</f>
        <v>4</v>
      </c>
      <c r="H463" s="5"/>
      <c r="I463" s="5"/>
    </row>
    <row r="464" spans="1:9" x14ac:dyDescent="0.35">
      <c r="A464" s="1" t="s">
        <v>494</v>
      </c>
      <c r="B464" s="2">
        <v>11.657</v>
      </c>
      <c r="C464" s="2">
        <v>286.62099999999998</v>
      </c>
      <c r="D464" s="5">
        <f>+VLOOKUP(A464,Sheet6!A:D,4,0)</f>
        <v>0.48730964467005072</v>
      </c>
      <c r="E464" s="5">
        <f t="shared" si="7"/>
        <v>5.680568527918782E-3</v>
      </c>
      <c r="F464" s="5" cm="1">
        <f t="array" ref="F464">_xlfn.IFS(
    AND(C464&gt;C$535,D464&lt;D$535),1,
    AND(C464&gt;C$535,D464&gt;D$535),2,
    AND(C464&lt;C$535,D464&lt;D$535),4,
    AND(C464&lt;C$535,D464&gt;D$535),3,
    TRUE,""
)</f>
        <v>2</v>
      </c>
      <c r="H464" s="5"/>
      <c r="I464" s="5"/>
    </row>
    <row r="465" spans="1:9" x14ac:dyDescent="0.35">
      <c r="A465" s="1" t="s">
        <v>495</v>
      </c>
      <c r="B465" s="2">
        <v>19.696999999999999</v>
      </c>
      <c r="C465" s="2">
        <v>263.649</v>
      </c>
      <c r="D465" s="5">
        <f>+VLOOKUP(A465,Sheet6!A:D,4,0)</f>
        <v>0.61147902869757176</v>
      </c>
      <c r="E465" s="5">
        <f t="shared" si="7"/>
        <v>1.2044302428256071E-2</v>
      </c>
      <c r="F465" s="5" cm="1">
        <f t="array" ref="F465">_xlfn.IFS(
    AND(C465&gt;C$535,D465&lt;D$535),1,
    AND(C465&gt;C$535,D465&gt;D$535),2,
    AND(C465&lt;C$535,D465&lt;D$535),4,
    AND(C465&lt;C$535,D465&gt;D$535),3,
    TRUE,""
)</f>
        <v>2</v>
      </c>
      <c r="H465" s="5"/>
      <c r="I465" s="5"/>
    </row>
    <row r="466" spans="1:9" x14ac:dyDescent="0.35">
      <c r="A466" s="1" t="s">
        <v>13</v>
      </c>
      <c r="B466" s="2">
        <v>43.637999999999998</v>
      </c>
      <c r="C466" s="2">
        <v>360.53699999999998</v>
      </c>
      <c r="D466" s="5">
        <f>+VLOOKUP(A466,Sheet6!A:D,4,0)</f>
        <v>0.3656441717791411</v>
      </c>
      <c r="E466" s="5">
        <f t="shared" si="7"/>
        <v>1.5955980368098158E-2</v>
      </c>
      <c r="F466" s="5" cm="1">
        <f t="array" ref="F466">_xlfn.IFS(
    AND(C466&gt;C$535,D466&lt;D$535),1,
    AND(C466&gt;C$535,D466&gt;D$535),2,
    AND(C466&lt;C$535,D466&lt;D$535),4,
    AND(C466&lt;C$535,D466&gt;D$535),3,
    TRUE,""
)</f>
        <v>2</v>
      </c>
      <c r="H466" s="5"/>
      <c r="I466" s="5"/>
    </row>
    <row r="467" spans="1:9" x14ac:dyDescent="0.35">
      <c r="A467" s="1" t="s">
        <v>496</v>
      </c>
      <c r="B467" s="2">
        <v>56.616</v>
      </c>
      <c r="C467" s="2">
        <v>283.10199999999998</v>
      </c>
      <c r="D467" s="5">
        <f>+VLOOKUP(A467,Sheet6!A:D,4,0)</f>
        <v>0.40718562874251502</v>
      </c>
      <c r="E467" s="5">
        <f t="shared" si="7"/>
        <v>2.3053221556886227E-2</v>
      </c>
      <c r="F467" s="5" cm="1">
        <f t="array" ref="F467">_xlfn.IFS(
    AND(C467&gt;C$535,D467&lt;D$535),1,
    AND(C467&gt;C$535,D467&gt;D$535),2,
    AND(C467&lt;C$535,D467&lt;D$535),4,
    AND(C467&lt;C$535,D467&gt;D$535),3,
    TRUE,""
)</f>
        <v>2</v>
      </c>
      <c r="H467" s="5"/>
      <c r="I467" s="5"/>
    </row>
    <row r="468" spans="1:9" x14ac:dyDescent="0.35">
      <c r="A468" s="1" t="s">
        <v>497</v>
      </c>
      <c r="B468" s="2">
        <v>23.050999999999998</v>
      </c>
      <c r="C468" s="2">
        <v>220.512</v>
      </c>
      <c r="D468" s="5">
        <f>+VLOOKUP(A468,Sheet6!A:D,4,0)</f>
        <v>0.32558139534883718</v>
      </c>
      <c r="E468" s="5">
        <f t="shared" si="7"/>
        <v>7.5049767441860453E-3</v>
      </c>
      <c r="F468" s="5" cm="1">
        <f t="array" ref="F468">_xlfn.IFS(
    AND(C468&gt;C$535,D468&lt;D$535),1,
    AND(C468&gt;C$535,D468&gt;D$535),2,
    AND(C468&lt;C$535,D468&lt;D$535),4,
    AND(C468&lt;C$535,D468&gt;D$535),3,
    TRUE,""
)</f>
        <v>3</v>
      </c>
      <c r="H468" s="5"/>
      <c r="I468" s="5"/>
    </row>
    <row r="469" spans="1:9" x14ac:dyDescent="0.35">
      <c r="A469" s="1" t="s">
        <v>498</v>
      </c>
      <c r="B469" s="1">
        <v>0.01</v>
      </c>
      <c r="C469" s="2">
        <v>150.798</v>
      </c>
      <c r="D469" s="5">
        <f>+VLOOKUP(A469,Sheet6!A:D,4,0)</f>
        <v>0.32051282051282048</v>
      </c>
      <c r="E469" s="5">
        <f t="shared" si="7"/>
        <v>3.205128205128205E-6</v>
      </c>
      <c r="F469" s="5" cm="1">
        <f t="array" ref="F469">_xlfn.IFS(
    AND(C469&gt;C$535,D469&lt;D$535),1,
    AND(C469&gt;C$535,D469&gt;D$535),2,
    AND(C469&lt;C$535,D469&lt;D$535),4,
    AND(C469&lt;C$535,D469&gt;D$535),3,
    TRUE,""
)</f>
        <v>3</v>
      </c>
      <c r="H469" s="5"/>
      <c r="I469" s="5"/>
    </row>
    <row r="470" spans="1:9" x14ac:dyDescent="0.35">
      <c r="A470" s="1" t="s">
        <v>12</v>
      </c>
      <c r="B470" s="2">
        <v>23.954999999999998</v>
      </c>
      <c r="C470" s="2">
        <v>263.202</v>
      </c>
      <c r="D470" s="5">
        <f>+VLOOKUP(A470,Sheet6!A:D,4,0)</f>
        <v>0.25964912280701752</v>
      </c>
      <c r="E470" s="5">
        <f t="shared" si="7"/>
        <v>6.2198947368421039E-3</v>
      </c>
      <c r="F470" s="5" cm="1">
        <f t="array" ref="F470">_xlfn.IFS(
    AND(C470&gt;C$535,D470&lt;D$535),1,
    AND(C470&gt;C$535,D470&gt;D$535),2,
    AND(C470&lt;C$535,D470&lt;D$535),4,
    AND(C470&lt;C$535,D470&gt;D$535),3,
    TRUE,""
)</f>
        <v>2</v>
      </c>
      <c r="H470" s="5"/>
      <c r="I470" s="5"/>
    </row>
    <row r="471" spans="1:9" x14ac:dyDescent="0.35">
      <c r="A471" s="1" t="s">
        <v>499</v>
      </c>
      <c r="B471" s="2">
        <v>57.003</v>
      </c>
      <c r="C471" s="2">
        <v>215.44499999999999</v>
      </c>
      <c r="D471" s="5">
        <f>+VLOOKUP(A471,Sheet6!A:D,4,0)</f>
        <v>0.15419947506561679</v>
      </c>
      <c r="E471" s="5">
        <f t="shared" si="7"/>
        <v>8.7898326771653542E-3</v>
      </c>
      <c r="F471" s="5" cm="1">
        <f t="array" ref="F471">_xlfn.IFS(
    AND(C471&gt;C$535,D471&lt;D$535),1,
    AND(C471&gt;C$535,D471&gt;D$535),2,
    AND(C471&lt;C$535,D471&lt;D$535),4,
    AND(C471&lt;C$535,D471&gt;D$535),3,
    TRUE,""
)</f>
        <v>4</v>
      </c>
      <c r="H471" s="5"/>
      <c r="I471" s="5"/>
    </row>
    <row r="472" spans="1:9" x14ac:dyDescent="0.35">
      <c r="A472" s="1" t="s">
        <v>11</v>
      </c>
      <c r="B472" s="2">
        <v>27.207000000000001</v>
      </c>
      <c r="C472" s="2">
        <v>274.26400000000001</v>
      </c>
      <c r="D472" s="5">
        <f>+VLOOKUP(A472,Sheet6!A:D,4,0)</f>
        <v>0.28330522765598654</v>
      </c>
      <c r="E472" s="5">
        <f t="shared" si="7"/>
        <v>7.7078853288364254E-3</v>
      </c>
      <c r="F472" s="5" cm="1">
        <f t="array" ref="F472">_xlfn.IFS(
    AND(C472&gt;C$535,D472&lt;D$535),1,
    AND(C472&gt;C$535,D472&gt;D$535),2,
    AND(C472&lt;C$535,D472&lt;D$535),4,
    AND(C472&lt;C$535,D472&gt;D$535),3,
    TRUE,""
)</f>
        <v>2</v>
      </c>
      <c r="H472" s="5"/>
      <c r="I472" s="5"/>
    </row>
    <row r="473" spans="1:9" x14ac:dyDescent="0.35">
      <c r="A473" s="1" t="s">
        <v>500</v>
      </c>
      <c r="B473" s="1">
        <v>2.3309999999999997E-2</v>
      </c>
      <c r="C473" s="2">
        <v>471.72500000000002</v>
      </c>
      <c r="D473" s="5">
        <f>+VLOOKUP(A473,Sheet6!A:D,4,0)</f>
        <v>0.16923076923076924</v>
      </c>
      <c r="E473" s="5">
        <f t="shared" si="7"/>
        <v>3.9447692307692307E-6</v>
      </c>
      <c r="F473" s="5" cm="1">
        <f t="array" ref="F473">_xlfn.IFS(
    AND(C473&gt;C$535,D473&lt;D$535),1,
    AND(C473&gt;C$535,D473&gt;D$535),2,
    AND(C473&lt;C$535,D473&lt;D$535),4,
    AND(C473&lt;C$535,D473&gt;D$535),3,
    TRUE,""
)</f>
        <v>1</v>
      </c>
      <c r="H473" s="5"/>
      <c r="I473" s="5"/>
    </row>
    <row r="474" spans="1:9" x14ac:dyDescent="0.35">
      <c r="A474" s="1" t="s">
        <v>501</v>
      </c>
      <c r="B474" s="2">
        <v>44.274000000000001</v>
      </c>
      <c r="C474" s="2">
        <v>335.54899999999998</v>
      </c>
      <c r="D474" s="5">
        <f>+VLOOKUP(A474,Sheet6!A:D,4,0)</f>
        <v>0.2478920741989882</v>
      </c>
      <c r="E474" s="5">
        <f t="shared" si="7"/>
        <v>1.0975173693086005E-2</v>
      </c>
      <c r="F474" s="5" cm="1">
        <f t="array" ref="F474">_xlfn.IFS(
    AND(C474&gt;C$535,D474&lt;D$535),1,
    AND(C474&gt;C$535,D474&gt;D$535),2,
    AND(C474&lt;C$535,D474&lt;D$535),4,
    AND(C474&lt;C$535,D474&gt;D$535),3,
    TRUE,""
)</f>
        <v>1</v>
      </c>
      <c r="H474" s="5"/>
      <c r="I474" s="5"/>
    </row>
    <row r="475" spans="1:9" ht="29" x14ac:dyDescent="0.35">
      <c r="A475" s="1" t="s">
        <v>502</v>
      </c>
      <c r="B475" s="2">
        <v>44.521000000000001</v>
      </c>
      <c r="C475" s="2">
        <v>255.227</v>
      </c>
      <c r="D475" s="5">
        <f>+VLOOKUP(A475,Sheet6!A:D,4,0)</f>
        <v>0.22159090909090906</v>
      </c>
      <c r="E475" s="5">
        <f t="shared" si="7"/>
        <v>9.8654488636363627E-3</v>
      </c>
      <c r="F475" s="5" cm="1">
        <f t="array" ref="F475">_xlfn.IFS(
    AND(C475&gt;C$535,D475&lt;D$535),1,
    AND(C475&gt;C$535,D475&gt;D$535),2,
    AND(C475&lt;C$535,D475&lt;D$535),4,
    AND(C475&lt;C$535,D475&gt;D$535),3,
    TRUE,""
)</f>
        <v>1</v>
      </c>
      <c r="H475" s="5"/>
      <c r="I475" s="5"/>
    </row>
    <row r="476" spans="1:9" x14ac:dyDescent="0.35">
      <c r="A476" s="1" t="s">
        <v>503</v>
      </c>
      <c r="B476" s="2">
        <v>14.211</v>
      </c>
      <c r="C476" s="2">
        <v>428.678</v>
      </c>
      <c r="D476" s="5">
        <f>+VLOOKUP(A476,Sheet6!A:D,4,0)</f>
        <v>0.17955801104972377</v>
      </c>
      <c r="E476" s="5">
        <f t="shared" si="7"/>
        <v>2.5516988950276243E-3</v>
      </c>
      <c r="F476" s="5" cm="1">
        <f t="array" ref="F476">_xlfn.IFS(
    AND(C476&gt;C$535,D476&lt;D$535),1,
    AND(C476&gt;C$535,D476&gt;D$535),2,
    AND(C476&lt;C$535,D476&lt;D$535),4,
    AND(C476&lt;C$535,D476&gt;D$535),3,
    TRUE,""
)</f>
        <v>1</v>
      </c>
      <c r="H476" s="5"/>
      <c r="I476" s="5"/>
    </row>
    <row r="477" spans="1:9" x14ac:dyDescent="0.35">
      <c r="A477" s="1" t="s">
        <v>504</v>
      </c>
      <c r="B477" s="2">
        <v>9.9659999999999993</v>
      </c>
      <c r="C477" s="2">
        <v>239.51400000000001</v>
      </c>
      <c r="D477" s="5">
        <f>+VLOOKUP(A477,Sheet6!A:D,4,0)</f>
        <v>0.30687830687830686</v>
      </c>
      <c r="E477" s="5">
        <f t="shared" si="7"/>
        <v>3.0583492063492061E-3</v>
      </c>
      <c r="F477" s="5" cm="1">
        <f t="array" ref="F477">_xlfn.IFS(
    AND(C477&gt;C$535,D477&lt;D$535),1,
    AND(C477&gt;C$535,D477&gt;D$535),2,
    AND(C477&lt;C$535,D477&lt;D$535),4,
    AND(C477&lt;C$535,D477&gt;D$535),3,
    TRUE,""
)</f>
        <v>2</v>
      </c>
      <c r="H477" s="5"/>
      <c r="I477" s="5"/>
    </row>
    <row r="478" spans="1:9" x14ac:dyDescent="0.35">
      <c r="A478" s="1" t="s">
        <v>505</v>
      </c>
      <c r="B478" s="2">
        <v>57.341000000000001</v>
      </c>
      <c r="C478" s="2">
        <v>269.024</v>
      </c>
      <c r="D478" s="5">
        <f>+VLOOKUP(A478,Sheet6!A:D,4,0)</f>
        <v>0.20431034482758623</v>
      </c>
      <c r="E478" s="5">
        <f t="shared" si="7"/>
        <v>1.1715359482758621E-2</v>
      </c>
      <c r="F478" s="5" cm="1">
        <f t="array" ref="F478">_xlfn.IFS(
    AND(C478&gt;C$535,D478&lt;D$535),1,
    AND(C478&gt;C$535,D478&gt;D$535),2,
    AND(C478&lt;C$535,D478&lt;D$535),4,
    AND(C478&lt;C$535,D478&gt;D$535),3,
    TRUE,""
)</f>
        <v>1</v>
      </c>
      <c r="H478" s="5"/>
      <c r="I478" s="5"/>
    </row>
    <row r="479" spans="1:9" x14ac:dyDescent="0.35">
      <c r="A479" s="1" t="s">
        <v>506</v>
      </c>
      <c r="B479" s="2">
        <v>8.8960000000000008</v>
      </c>
      <c r="C479" s="2">
        <v>179.86199999999999</v>
      </c>
      <c r="D479" s="5">
        <f>+VLOOKUP(A479,Sheet6!A:D,4,0)</f>
        <v>0.4560570071258907</v>
      </c>
      <c r="E479" s="5">
        <f t="shared" si="7"/>
        <v>4.0570831353919238E-3</v>
      </c>
      <c r="F479" s="5" cm="1">
        <f t="array" ref="F479">_xlfn.IFS(
    AND(C479&gt;C$535,D479&lt;D$535),1,
    AND(C479&gt;C$535,D479&gt;D$535),2,
    AND(C479&lt;C$535,D479&lt;D$535),4,
    AND(C479&lt;C$535,D479&gt;D$535),3,
    TRUE,""
)</f>
        <v>3</v>
      </c>
      <c r="H479" s="5"/>
      <c r="I479" s="5"/>
    </row>
    <row r="480" spans="1:9" x14ac:dyDescent="0.35">
      <c r="A480" s="1" t="s">
        <v>507</v>
      </c>
      <c r="B480" s="2">
        <v>59.274999999999999</v>
      </c>
      <c r="C480" s="2">
        <v>198.10900000000001</v>
      </c>
      <c r="D480" s="5">
        <f>+VLOOKUP(A480,Sheet6!A:D,4,0)</f>
        <v>0.26987951807228916</v>
      </c>
      <c r="E480" s="5">
        <f t="shared" si="7"/>
        <v>1.599710843373494E-2</v>
      </c>
      <c r="F480" s="5" cm="1">
        <f t="array" ref="F480">_xlfn.IFS(
    AND(C480&gt;C$535,D480&lt;D$535),1,
    AND(C480&gt;C$535,D480&gt;D$535),2,
    AND(C480&lt;C$535,D480&lt;D$535),4,
    AND(C480&lt;C$535,D480&gt;D$535),3,
    TRUE,""
)</f>
        <v>3</v>
      </c>
      <c r="H480" s="5"/>
      <c r="I480" s="5"/>
    </row>
    <row r="481" spans="1:9" ht="29" x14ac:dyDescent="0.35">
      <c r="A481" s="1" t="s">
        <v>10</v>
      </c>
      <c r="B481" s="2">
        <v>38.475000000000001</v>
      </c>
      <c r="C481" s="2">
        <v>200.441</v>
      </c>
      <c r="D481" s="5">
        <f>+VLOOKUP(A481,Sheet6!A:D,4,0)</f>
        <v>0.2332155477031802</v>
      </c>
      <c r="E481" s="5">
        <f t="shared" si="7"/>
        <v>8.9729681978798579E-3</v>
      </c>
      <c r="F481" s="5" cm="1">
        <f t="array" ref="F481">_xlfn.IFS(
    AND(C481&gt;C$535,D481&lt;D$535),1,
    AND(C481&gt;C$535,D481&gt;D$535),2,
    AND(C481&lt;C$535,D481&lt;D$535),4,
    AND(C481&lt;C$535,D481&gt;D$535),3,
    TRUE,""
)</f>
        <v>4</v>
      </c>
      <c r="H481" s="5"/>
      <c r="I481" s="5"/>
    </row>
    <row r="482" spans="1:9" x14ac:dyDescent="0.35">
      <c r="A482" s="1" t="s">
        <v>508</v>
      </c>
      <c r="B482" s="2">
        <v>2.5310000000000001</v>
      </c>
      <c r="C482" s="2">
        <v>305.85500000000002</v>
      </c>
      <c r="D482" s="5">
        <f>+VLOOKUP(A482,Sheet6!A:D,4,0)</f>
        <v>0</v>
      </c>
      <c r="E482" s="5">
        <f t="shared" si="7"/>
        <v>0</v>
      </c>
      <c r="F482" s="5" cm="1">
        <f t="array" ref="F482">_xlfn.IFS(
    AND(C482&gt;C$535,D482&lt;D$535),1,
    AND(C482&gt;C$535,D482&gt;D$535),2,
    AND(C482&lt;C$535,D482&lt;D$535),4,
    AND(C482&lt;C$535,D482&gt;D$535),3,
    TRUE,""
)</f>
        <v>1</v>
      </c>
      <c r="H482" s="5"/>
      <c r="I482" s="5"/>
    </row>
    <row r="483" spans="1:9" x14ac:dyDescent="0.35">
      <c r="A483" s="1" t="s">
        <v>509</v>
      </c>
      <c r="B483" s="2">
        <v>54.808</v>
      </c>
      <c r="C483" s="1">
        <v>0.34086</v>
      </c>
      <c r="D483" s="5">
        <f>+VLOOKUP(A483,Sheet6!A:D,4,0)</f>
        <v>0.22600408441116404</v>
      </c>
      <c r="E483" s="5">
        <f t="shared" si="7"/>
        <v>1.2386831858407079E-2</v>
      </c>
      <c r="F483" s="5" cm="1">
        <f t="array" ref="F483">_xlfn.IFS(
    AND(C483&gt;C$535,D483&lt;D$535),1,
    AND(C483&gt;C$535,D483&gt;D$535),2,
    AND(C483&lt;C$535,D483&lt;D$535),4,
    AND(C483&lt;C$535,D483&gt;D$535),3,
    TRUE,""
)</f>
        <v>4</v>
      </c>
      <c r="H483" s="5"/>
      <c r="I483" s="5"/>
    </row>
    <row r="484" spans="1:9" x14ac:dyDescent="0.35">
      <c r="A484" s="1" t="s">
        <v>510</v>
      </c>
      <c r="B484" s="2">
        <v>2.8660000000000001</v>
      </c>
      <c r="C484" s="2">
        <v>126.298</v>
      </c>
      <c r="D484" s="5">
        <f>+VLOOKUP(A484,Sheet6!A:D,4,0)</f>
        <v>0.12857142857142859</v>
      </c>
      <c r="E484" s="5">
        <f t="shared" si="7"/>
        <v>3.6848571428571434E-4</v>
      </c>
      <c r="F484" s="5" cm="1">
        <f t="array" ref="F484">_xlfn.IFS(
    AND(C484&gt;C$535,D484&lt;D$535),1,
    AND(C484&gt;C$535,D484&gt;D$535),2,
    AND(C484&lt;C$535,D484&lt;D$535),4,
    AND(C484&lt;C$535,D484&gt;D$535),3,
    TRUE,""
)</f>
        <v>4</v>
      </c>
      <c r="H484" s="5"/>
      <c r="I484" s="5"/>
    </row>
    <row r="485" spans="1:9" x14ac:dyDescent="0.35">
      <c r="A485" s="1" t="s">
        <v>511</v>
      </c>
      <c r="B485" s="2">
        <v>28.765000000000001</v>
      </c>
      <c r="C485" s="2">
        <v>299.94900000000001</v>
      </c>
      <c r="D485" s="5">
        <f>+VLOOKUP(A485,Sheet6!A:D,4,0)</f>
        <v>0.19152542372881354</v>
      </c>
      <c r="E485" s="5">
        <f t="shared" si="7"/>
        <v>5.5092288135593212E-3</v>
      </c>
      <c r="F485" s="5" cm="1">
        <f t="array" ref="F485">_xlfn.IFS(
    AND(C485&gt;C$535,D485&lt;D$535),1,
    AND(C485&gt;C$535,D485&gt;D$535),2,
    AND(C485&lt;C$535,D485&lt;D$535),4,
    AND(C485&lt;C$535,D485&gt;D$535),3,
    TRUE,""
)</f>
        <v>1</v>
      </c>
      <c r="H485" s="5"/>
      <c r="I485" s="5"/>
    </row>
    <row r="486" spans="1:9" x14ac:dyDescent="0.35">
      <c r="A486" s="1" t="s">
        <v>512</v>
      </c>
      <c r="B486" s="1">
        <v>1.304E-2</v>
      </c>
      <c r="C486" s="2">
        <v>315.34699999999998</v>
      </c>
      <c r="D486" s="5">
        <f>+VLOOKUP(A486,Sheet6!A:D,4,0)</f>
        <v>0.45564516129032256</v>
      </c>
      <c r="E486" s="5">
        <f t="shared" si="7"/>
        <v>5.9416129032258062E-6</v>
      </c>
      <c r="F486" s="5" cm="1">
        <f t="array" ref="F486">_xlfn.IFS(
    AND(C486&gt;C$535,D486&lt;D$535),1,
    AND(C486&gt;C$535,D486&gt;D$535),2,
    AND(C486&lt;C$535,D486&lt;D$535),4,
    AND(C486&lt;C$535,D486&gt;D$535),3,
    TRUE,""
)</f>
        <v>2</v>
      </c>
      <c r="H486" s="5"/>
      <c r="I486" s="5"/>
    </row>
    <row r="487" spans="1:9" x14ac:dyDescent="0.35">
      <c r="A487" s="1" t="s">
        <v>513</v>
      </c>
      <c r="B487" s="2">
        <v>50.546999999999997</v>
      </c>
      <c r="C487" s="2">
        <v>277.584</v>
      </c>
      <c r="D487" s="5">
        <f>+VLOOKUP(A487,Sheet6!A:D,4,0)</f>
        <v>0.30428134556574921</v>
      </c>
      <c r="E487" s="5">
        <f t="shared" si="7"/>
        <v>1.5380509174311925E-2</v>
      </c>
      <c r="F487" s="5" cm="1">
        <f t="array" ref="F487">_xlfn.IFS(
    AND(C487&gt;C$535,D487&lt;D$535),1,
    AND(C487&gt;C$535,D487&gt;D$535),2,
    AND(C487&lt;C$535,D487&lt;D$535),4,
    AND(C487&lt;C$535,D487&gt;D$535),3,
    TRUE,""
)</f>
        <v>2</v>
      </c>
      <c r="H487" s="5"/>
      <c r="I487" s="5"/>
    </row>
    <row r="488" spans="1:9" x14ac:dyDescent="0.35">
      <c r="A488" s="1" t="s">
        <v>514</v>
      </c>
      <c r="B488" s="2">
        <v>2.891</v>
      </c>
      <c r="C488" s="2">
        <v>126.271</v>
      </c>
      <c r="D488" s="5">
        <f>+VLOOKUP(A488,Sheet6!A:D,4,0)</f>
        <v>0.11290322580645162</v>
      </c>
      <c r="E488" s="5">
        <f t="shared" si="7"/>
        <v>3.2640322580645162E-4</v>
      </c>
      <c r="F488" s="5" cm="1">
        <f t="array" ref="F488">_xlfn.IFS(
    AND(C488&gt;C$535,D488&lt;D$535),1,
    AND(C488&gt;C$535,D488&gt;D$535),2,
    AND(C488&lt;C$535,D488&lt;D$535),4,
    AND(C488&lt;C$535,D488&gt;D$535),3,
    TRUE,""
)</f>
        <v>4</v>
      </c>
      <c r="H488" s="5"/>
      <c r="I488" s="5"/>
    </row>
    <row r="489" spans="1:9" x14ac:dyDescent="0.35">
      <c r="A489" s="1" t="s">
        <v>9</v>
      </c>
      <c r="B489" s="2">
        <v>12.427</v>
      </c>
      <c r="C489" s="2">
        <v>235.946</v>
      </c>
      <c r="D489" s="5">
        <f>+VLOOKUP(A489,Sheet6!A:D,4,0)</f>
        <v>0.41785714285714287</v>
      </c>
      <c r="E489" s="5">
        <f t="shared" si="7"/>
        <v>5.1927107142857145E-3</v>
      </c>
      <c r="F489" s="5" cm="1">
        <f t="array" ref="F489">_xlfn.IFS(
    AND(C489&gt;C$535,D489&lt;D$535),1,
    AND(C489&gt;C$535,D489&gt;D$535),2,
    AND(C489&lt;C$535,D489&lt;D$535),4,
    AND(C489&lt;C$535,D489&gt;D$535),3,
    TRUE,""
)</f>
        <v>3</v>
      </c>
      <c r="H489" s="5"/>
      <c r="I489" s="5"/>
    </row>
    <row r="490" spans="1:9" x14ac:dyDescent="0.35">
      <c r="A490" s="1" t="s">
        <v>515</v>
      </c>
      <c r="B490" s="2">
        <v>69.704999999999998</v>
      </c>
      <c r="C490" s="2">
        <v>296.46199999999999</v>
      </c>
      <c r="D490" s="5">
        <f>+VLOOKUP(A490,Sheet6!A:D,4,0)</f>
        <v>0.11176470588235295</v>
      </c>
      <c r="E490" s="5">
        <f t="shared" si="7"/>
        <v>7.7905588235294117E-3</v>
      </c>
      <c r="F490" s="5" cm="1">
        <f t="array" ref="F490">_xlfn.IFS(
    AND(C490&gt;C$535,D490&lt;D$535),1,
    AND(C490&gt;C$535,D490&gt;D$535),2,
    AND(C490&lt;C$535,D490&lt;D$535),4,
    AND(C490&lt;C$535,D490&gt;D$535),3,
    TRUE,""
)</f>
        <v>1</v>
      </c>
      <c r="H490" s="5"/>
      <c r="I490" s="5"/>
    </row>
    <row r="491" spans="1:9" x14ac:dyDescent="0.35">
      <c r="A491" s="1" t="s">
        <v>8</v>
      </c>
      <c r="B491" s="2">
        <v>19.689</v>
      </c>
      <c r="C491" s="2">
        <v>272.18200000000002</v>
      </c>
      <c r="D491" s="5">
        <f>+VLOOKUP(A491,Sheet6!A:D,4,0)</f>
        <v>0.25719424460431656</v>
      </c>
      <c r="E491" s="5">
        <f t="shared" si="7"/>
        <v>5.063897482014388E-3</v>
      </c>
      <c r="F491" s="5" cm="1">
        <f t="array" ref="F491">_xlfn.IFS(
    AND(C491&gt;C$535,D491&lt;D$535),1,
    AND(C491&gt;C$535,D491&gt;D$535),2,
    AND(C491&lt;C$535,D491&lt;D$535),4,
    AND(C491&lt;C$535,D491&gt;D$535),3,
    TRUE,""
)</f>
        <v>2</v>
      </c>
      <c r="H491" s="5"/>
      <c r="I491" s="5"/>
    </row>
    <row r="492" spans="1:9" x14ac:dyDescent="0.35">
      <c r="A492" s="1" t="s">
        <v>516</v>
      </c>
      <c r="B492" s="2">
        <v>7.1989999999999998</v>
      </c>
      <c r="C492" s="2">
        <v>277.80200000000002</v>
      </c>
      <c r="D492" s="5">
        <f>+VLOOKUP(A492,Sheet6!A:D,4,0)</f>
        <v>7.6086956521739135E-2</v>
      </c>
      <c r="E492" s="5">
        <f t="shared" si="7"/>
        <v>5.4775000000000006E-4</v>
      </c>
      <c r="F492" s="5" cm="1">
        <f t="array" ref="F492">_xlfn.IFS(
    AND(C492&gt;C$535,D492&lt;D$535),1,
    AND(C492&gt;C$535,D492&gt;D$535),2,
    AND(C492&lt;C$535,D492&lt;D$535),4,
    AND(C492&lt;C$535,D492&gt;D$535),3,
    TRUE,""
)</f>
        <v>1</v>
      </c>
      <c r="H492" s="5"/>
      <c r="I492" s="5"/>
    </row>
    <row r="493" spans="1:9" x14ac:dyDescent="0.35">
      <c r="A493" s="1" t="s">
        <v>7</v>
      </c>
      <c r="B493" s="2">
        <v>7.7380000000000004</v>
      </c>
      <c r="C493" s="2">
        <v>321.274</v>
      </c>
      <c r="D493" s="5">
        <f>+VLOOKUP(A493,Sheet6!A:D,4,0)</f>
        <v>0.31818181818181823</v>
      </c>
      <c r="E493" s="5">
        <f t="shared" si="7"/>
        <v>2.4620909090909094E-3</v>
      </c>
      <c r="F493" s="5" cm="1">
        <f t="array" ref="F493">_xlfn.IFS(
    AND(C493&gt;C$535,D493&lt;D$535),1,
    AND(C493&gt;C$535,D493&gt;D$535),2,
    AND(C493&lt;C$535,D493&lt;D$535),4,
    AND(C493&lt;C$535,D493&gt;D$535),3,
    TRUE,""
)</f>
        <v>2</v>
      </c>
      <c r="H493" s="5"/>
      <c r="I493" s="5"/>
    </row>
    <row r="494" spans="1:9" x14ac:dyDescent="0.35">
      <c r="A494" s="1" t="s">
        <v>517</v>
      </c>
      <c r="B494" s="2">
        <v>76.759</v>
      </c>
      <c r="C494" s="2">
        <v>327.89699999999999</v>
      </c>
      <c r="D494" s="5">
        <f>+VLOOKUP(A494,Sheet6!A:D,4,0)</f>
        <v>0.11735769501054111</v>
      </c>
      <c r="E494" s="5">
        <f t="shared" si="7"/>
        <v>9.0082593113141249E-3</v>
      </c>
      <c r="F494" s="5" cm="1">
        <f t="array" ref="F494">_xlfn.IFS(
    AND(C494&gt;C$535,D494&lt;D$535),1,
    AND(C494&gt;C$535,D494&gt;D$535),2,
    AND(C494&lt;C$535,D494&lt;D$535),4,
    AND(C494&lt;C$535,D494&gt;D$535),3,
    TRUE,""
)</f>
        <v>1</v>
      </c>
      <c r="H494" s="5"/>
      <c r="I494" s="5"/>
    </row>
    <row r="495" spans="1:9" x14ac:dyDescent="0.35">
      <c r="A495" s="1" t="s">
        <v>518</v>
      </c>
      <c r="B495" s="2">
        <v>32.796999999999997</v>
      </c>
      <c r="C495" s="2">
        <v>251.51400000000001</v>
      </c>
      <c r="D495" s="5">
        <f>+VLOOKUP(A495,Sheet6!A:D,4,0)</f>
        <v>0.10397946084724005</v>
      </c>
      <c r="E495" s="5">
        <f t="shared" si="7"/>
        <v>3.4102143774069316E-3</v>
      </c>
      <c r="F495" s="5" cm="1">
        <f t="array" ref="F495">_xlfn.IFS(
    AND(C495&gt;C$535,D495&lt;D$535),1,
    AND(C495&gt;C$535,D495&gt;D$535),2,
    AND(C495&lt;C$535,D495&lt;D$535),4,
    AND(C495&lt;C$535,D495&gt;D$535),3,
    TRUE,""
)</f>
        <v>1</v>
      </c>
      <c r="H495" s="5"/>
      <c r="I495" s="5"/>
    </row>
    <row r="496" spans="1:9" x14ac:dyDescent="0.35">
      <c r="A496" s="1" t="s">
        <v>519</v>
      </c>
      <c r="B496" s="2">
        <v>62.463000000000001</v>
      </c>
      <c r="C496" s="2">
        <v>310.88799999999998</v>
      </c>
      <c r="D496" s="5">
        <f>+VLOOKUP(A496,Sheet6!A:D,4,0)</f>
        <v>0.29504504504504503</v>
      </c>
      <c r="E496" s="5">
        <f t="shared" si="7"/>
        <v>1.8429398648648648E-2</v>
      </c>
      <c r="F496" s="5" cm="1">
        <f t="array" ref="F496">_xlfn.IFS(
    AND(C496&gt;C$535,D496&lt;D$535),1,
    AND(C496&gt;C$535,D496&gt;D$535),2,
    AND(C496&lt;C$535,D496&lt;D$535),4,
    AND(C496&lt;C$535,D496&gt;D$535),3,
    TRUE,""
)</f>
        <v>2</v>
      </c>
      <c r="H496" s="5"/>
      <c r="I496" s="5"/>
    </row>
    <row r="497" spans="1:9" x14ac:dyDescent="0.35">
      <c r="A497" s="1" t="s">
        <v>520</v>
      </c>
      <c r="B497" s="2">
        <v>6.4009999999999998</v>
      </c>
      <c r="C497" s="2">
        <v>142.953</v>
      </c>
      <c r="D497" s="5">
        <f>+VLOOKUP(A497,Sheet6!A:D,4,0)</f>
        <v>0.43852459016393447</v>
      </c>
      <c r="E497" s="5">
        <f t="shared" si="7"/>
        <v>2.8069959016393448E-3</v>
      </c>
      <c r="F497" s="5" cm="1">
        <f t="array" ref="F497">_xlfn.IFS(
    AND(C497&gt;C$535,D497&lt;D$535),1,
    AND(C497&gt;C$535,D497&gt;D$535),2,
    AND(C497&lt;C$535,D497&lt;D$535),4,
    AND(C497&lt;C$535,D497&gt;D$535),3,
    TRUE,""
)</f>
        <v>3</v>
      </c>
      <c r="H497" s="5"/>
      <c r="I497" s="5"/>
    </row>
    <row r="498" spans="1:9" x14ac:dyDescent="0.35">
      <c r="A498" s="1" t="s">
        <v>521</v>
      </c>
      <c r="B498" s="1">
        <v>7.2900000000000006E-2</v>
      </c>
      <c r="C498" s="2">
        <v>175.679</v>
      </c>
      <c r="D498" s="5">
        <f>+VLOOKUP(A498,Sheet6!A:D,4,0)</f>
        <v>0.30389308541545612</v>
      </c>
      <c r="E498" s="5">
        <f t="shared" si="7"/>
        <v>2.2153805926786752E-5</v>
      </c>
      <c r="F498" s="5" cm="1">
        <f t="array" ref="F498">_xlfn.IFS(
    AND(C498&gt;C$535,D498&lt;D$535),1,
    AND(C498&gt;C$535,D498&gt;D$535),2,
    AND(C498&lt;C$535,D498&lt;D$535),4,
    AND(C498&lt;C$535,D498&gt;D$535),3,
    TRUE,""
)</f>
        <v>3</v>
      </c>
      <c r="H498" s="5"/>
      <c r="I498" s="5"/>
    </row>
    <row r="499" spans="1:9" x14ac:dyDescent="0.35">
      <c r="A499" s="1" t="s">
        <v>522</v>
      </c>
      <c r="B499" s="2">
        <v>21.742999999999999</v>
      </c>
      <c r="C499" s="2">
        <v>242.60499999999999</v>
      </c>
      <c r="D499" s="5">
        <f>+VLOOKUP(A499,Sheet6!A:D,4,0)</f>
        <v>9.8214285714285726E-2</v>
      </c>
      <c r="E499" s="5">
        <f t="shared" si="7"/>
        <v>2.1354732142857143E-3</v>
      </c>
      <c r="F499" s="5" cm="1">
        <f t="array" ref="F499">_xlfn.IFS(
    AND(C499&gt;C$535,D499&lt;D$535),1,
    AND(C499&gt;C$535,D499&gt;D$535),2,
    AND(C499&lt;C$535,D499&lt;D$535),4,
    AND(C499&lt;C$535,D499&gt;D$535),3,
    TRUE,""
)</f>
        <v>1</v>
      </c>
      <c r="H499" s="5"/>
      <c r="I499" s="5"/>
    </row>
    <row r="500" spans="1:9" x14ac:dyDescent="0.35">
      <c r="A500" s="1" t="s">
        <v>523</v>
      </c>
      <c r="B500" s="2">
        <v>6.9279999999999999</v>
      </c>
      <c r="C500" s="2">
        <v>215.51300000000001</v>
      </c>
      <c r="D500" s="5">
        <f>+VLOOKUP(A500,Sheet6!A:D,4,0)</f>
        <v>0.25878594249201281</v>
      </c>
      <c r="E500" s="5">
        <f t="shared" si="7"/>
        <v>1.7928690095846648E-3</v>
      </c>
      <c r="F500" s="5" cm="1">
        <f t="array" ref="F500">_xlfn.IFS(
    AND(C500&gt;C$535,D500&lt;D$535),1,
    AND(C500&gt;C$535,D500&gt;D$535),2,
    AND(C500&lt;C$535,D500&lt;D$535),4,
    AND(C500&lt;C$535,D500&gt;D$535),3,
    TRUE,""
)</f>
        <v>3</v>
      </c>
      <c r="H500" s="5"/>
      <c r="I500" s="5"/>
    </row>
    <row r="501" spans="1:9" x14ac:dyDescent="0.35">
      <c r="A501" s="1" t="s">
        <v>524</v>
      </c>
      <c r="B501" s="2">
        <v>6.9640000000000004</v>
      </c>
      <c r="C501" s="2">
        <v>170.58799999999999</v>
      </c>
      <c r="D501" s="5">
        <f>+VLOOKUP(A501,Sheet6!A:D,4,0)</f>
        <v>0.3048780487804878</v>
      </c>
      <c r="E501" s="5">
        <f t="shared" si="7"/>
        <v>2.1231707317073169E-3</v>
      </c>
      <c r="F501" s="5" cm="1">
        <f t="array" ref="F501">_xlfn.IFS(
    AND(C501&gt;C$535,D501&lt;D$535),1,
    AND(C501&gt;C$535,D501&gt;D$535),2,
    AND(C501&lt;C$535,D501&lt;D$535),4,
    AND(C501&lt;C$535,D501&gt;D$535),3,
    TRUE,""
)</f>
        <v>3</v>
      </c>
      <c r="H501" s="5"/>
      <c r="I501" s="5"/>
    </row>
    <row r="502" spans="1:9" x14ac:dyDescent="0.35">
      <c r="A502" s="1" t="s">
        <v>525</v>
      </c>
      <c r="B502" s="2">
        <v>46.082999999999998</v>
      </c>
      <c r="C502" s="2">
        <v>371.72199999999998</v>
      </c>
      <c r="D502" s="5">
        <f>+VLOOKUP(A502,Sheet6!A:D,4,0)</f>
        <v>0.25488530161427359</v>
      </c>
      <c r="E502" s="5">
        <f t="shared" si="7"/>
        <v>1.1745879354290568E-2</v>
      </c>
      <c r="F502" s="5" cm="1">
        <f t="array" ref="F502">_xlfn.IFS(
    AND(C502&gt;C$535,D502&lt;D$535),1,
    AND(C502&gt;C$535,D502&gt;D$535),2,
    AND(C502&lt;C$535,D502&lt;D$535),4,
    AND(C502&lt;C$535,D502&gt;D$535),3,
    TRUE,""
)</f>
        <v>1</v>
      </c>
      <c r="H502" s="5"/>
      <c r="I502" s="5"/>
    </row>
    <row r="503" spans="1:9" x14ac:dyDescent="0.35">
      <c r="A503" s="1" t="s">
        <v>526</v>
      </c>
      <c r="B503" s="2">
        <v>7.0220000000000002</v>
      </c>
      <c r="C503" s="1">
        <v>0.20293</v>
      </c>
      <c r="D503" s="5">
        <f>+VLOOKUP(A503,Sheet6!A:D,4,0)</f>
        <v>0.41176470588235298</v>
      </c>
      <c r="E503" s="5">
        <f t="shared" si="7"/>
        <v>2.8914117647058828E-3</v>
      </c>
      <c r="F503" s="5" cm="1">
        <f t="array" ref="F503">_xlfn.IFS(
    AND(C503&gt;C$535,D503&lt;D$535),1,
    AND(C503&gt;C$535,D503&gt;D$535),2,
    AND(C503&lt;C$535,D503&lt;D$535),4,
    AND(C503&lt;C$535,D503&gt;D$535),3,
    TRUE,""
)</f>
        <v>3</v>
      </c>
      <c r="H503" s="5"/>
      <c r="I503" s="5"/>
    </row>
    <row r="504" spans="1:9" x14ac:dyDescent="0.35">
      <c r="A504" s="1" t="s">
        <v>527</v>
      </c>
      <c r="B504" s="2">
        <v>41.366</v>
      </c>
      <c r="C504" s="2">
        <v>269.18200000000002</v>
      </c>
      <c r="D504" s="5">
        <f>+VLOOKUP(A504,Sheet6!A:D,4,0)</f>
        <v>0.15256124721603564</v>
      </c>
      <c r="E504" s="5">
        <f t="shared" si="7"/>
        <v>6.3108485523385308E-3</v>
      </c>
      <c r="F504" s="5" cm="1">
        <f t="array" ref="F504">_xlfn.IFS(
    AND(C504&gt;C$535,D504&lt;D$535),1,
    AND(C504&gt;C$535,D504&gt;D$535),2,
    AND(C504&lt;C$535,D504&lt;D$535),4,
    AND(C504&lt;C$535,D504&gt;D$535),3,
    TRUE,""
)</f>
        <v>1</v>
      </c>
      <c r="H504" s="5"/>
      <c r="I504" s="5"/>
    </row>
    <row r="505" spans="1:9" x14ac:dyDescent="0.35">
      <c r="A505" s="1" t="s">
        <v>6</v>
      </c>
      <c r="B505" s="1">
        <v>1.302E-2</v>
      </c>
      <c r="C505" s="2">
        <v>426.87799999999999</v>
      </c>
      <c r="D505" s="5">
        <f>+VLOOKUP(A505,Sheet6!A:D,4,0)</f>
        <v>0.17216981132075471</v>
      </c>
      <c r="E505" s="5">
        <f t="shared" si="7"/>
        <v>2.241650943396226E-6</v>
      </c>
      <c r="F505" s="5" cm="1">
        <f t="array" ref="F505">_xlfn.IFS(
    AND(C505&gt;C$535,D505&lt;D$535),1,
    AND(C505&gt;C$535,D505&gt;D$535),2,
    AND(C505&lt;C$535,D505&lt;D$535),4,
    AND(C505&lt;C$535,D505&gt;D$535),3,
    TRUE,""
)</f>
        <v>1</v>
      </c>
      <c r="H505" s="5"/>
      <c r="I505" s="5"/>
    </row>
    <row r="506" spans="1:9" x14ac:dyDescent="0.35">
      <c r="A506" s="1" t="s">
        <v>528</v>
      </c>
      <c r="B506" s="2">
        <v>6.6740000000000004</v>
      </c>
      <c r="C506" s="1">
        <v>0.19763</v>
      </c>
      <c r="D506" s="5">
        <f>+VLOOKUP(A506,Sheet6!A:D,4,0)</f>
        <v>0.08</v>
      </c>
      <c r="E506" s="5">
        <f t="shared" si="7"/>
        <v>5.3392000000000001E-4</v>
      </c>
      <c r="F506" s="5" cm="1">
        <f t="array" ref="F506">_xlfn.IFS(
    AND(C506&gt;C$535,D506&lt;D$535),1,
    AND(C506&gt;C$535,D506&gt;D$535),2,
    AND(C506&lt;C$535,D506&lt;D$535),4,
    AND(C506&lt;C$535,D506&gt;D$535),3,
    TRUE,""
)</f>
        <v>4</v>
      </c>
      <c r="H506" s="5"/>
      <c r="I506" s="5"/>
    </row>
    <row r="507" spans="1:9" x14ac:dyDescent="0.35">
      <c r="A507" s="1" t="s">
        <v>529</v>
      </c>
      <c r="B507" s="1">
        <v>6.9620000000000001E-2</v>
      </c>
      <c r="C507" s="2">
        <v>317.86900000000003</v>
      </c>
      <c r="D507" s="5">
        <f>+VLOOKUP(A507,Sheet6!A:D,4,0)</f>
        <v>0.24341412012644889</v>
      </c>
      <c r="E507" s="5">
        <f t="shared" si="7"/>
        <v>1.6946491043203373E-5</v>
      </c>
      <c r="F507" s="5" cm="1">
        <f t="array" ref="F507">_xlfn.IFS(
    AND(C507&gt;C$535,D507&lt;D$535),1,
    AND(C507&gt;C$535,D507&gt;D$535),2,
    AND(C507&lt;C$535,D507&lt;D$535),4,
    AND(C507&lt;C$535,D507&gt;D$535),3,
    TRUE,""
)</f>
        <v>1</v>
      </c>
      <c r="H507" s="5"/>
      <c r="I507" s="5"/>
    </row>
    <row r="508" spans="1:9" x14ac:dyDescent="0.35">
      <c r="A508" s="1" t="s">
        <v>5</v>
      </c>
      <c r="B508" s="2">
        <v>10.250999999999999</v>
      </c>
      <c r="C508" s="2">
        <v>287.28500000000003</v>
      </c>
      <c r="D508" s="5">
        <f>+VLOOKUP(A508,Sheet6!A:D,4,0)</f>
        <v>0.19491525423728814</v>
      </c>
      <c r="E508" s="5">
        <f t="shared" si="7"/>
        <v>1.9980762711864406E-3</v>
      </c>
      <c r="F508" s="5" cm="1">
        <f t="array" ref="F508">_xlfn.IFS(
    AND(C508&gt;C$535,D508&lt;D$535),1,
    AND(C508&gt;C$535,D508&gt;D$535),2,
    AND(C508&lt;C$535,D508&lt;D$535),4,
    AND(C508&lt;C$535,D508&gt;D$535),3,
    TRUE,""
)</f>
        <v>1</v>
      </c>
      <c r="H508" s="5"/>
      <c r="I508" s="5"/>
    </row>
    <row r="509" spans="1:9" x14ac:dyDescent="0.35">
      <c r="A509" s="1" t="s">
        <v>530</v>
      </c>
      <c r="B509" s="1">
        <v>2.8900000000000002E-3</v>
      </c>
      <c r="C509" s="2">
        <v>220.095</v>
      </c>
      <c r="D509" s="5">
        <f>+VLOOKUP(A509,Sheet6!A:D,4,0)</f>
        <v>0.39999999999999997</v>
      </c>
      <c r="E509" s="5">
        <f t="shared" si="7"/>
        <v>1.1559999999999998E-6</v>
      </c>
      <c r="F509" s="5" cm="1">
        <f t="array" ref="F509">_xlfn.IFS(
    AND(C509&gt;C$535,D509&lt;D$535),1,
    AND(C509&gt;C$535,D509&gt;D$535),2,
    AND(C509&lt;C$535,D509&lt;D$535),4,
    AND(C509&lt;C$535,D509&gt;D$535),3,
    TRUE,""
)</f>
        <v>3</v>
      </c>
      <c r="H509" s="5"/>
      <c r="I509" s="5"/>
    </row>
    <row r="510" spans="1:9" x14ac:dyDescent="0.35">
      <c r="A510" s="1" t="s">
        <v>4</v>
      </c>
      <c r="B510" s="2">
        <v>17.248999999999999</v>
      </c>
      <c r="C510" s="2">
        <v>296.661</v>
      </c>
      <c r="D510" s="5">
        <f>+VLOOKUP(A510,Sheet6!A:D,4,0)</f>
        <v>0.19277108433734938</v>
      </c>
      <c r="E510" s="5">
        <f t="shared" si="7"/>
        <v>3.3251084337349393E-3</v>
      </c>
      <c r="F510" s="5" cm="1">
        <f t="array" ref="F510">_xlfn.IFS(
    AND(C510&gt;C$535,D510&lt;D$535),1,
    AND(C510&gt;C$535,D510&gt;D$535),2,
    AND(C510&lt;C$535,D510&lt;D$535),4,
    AND(C510&lt;C$535,D510&gt;D$535),3,
    TRUE,""
)</f>
        <v>1</v>
      </c>
      <c r="H510" s="5"/>
      <c r="I510" s="5"/>
    </row>
    <row r="511" spans="1:9" x14ac:dyDescent="0.35">
      <c r="A511" s="1" t="s">
        <v>531</v>
      </c>
      <c r="B511" s="2">
        <v>2.7730000000000001</v>
      </c>
      <c r="C511" s="2">
        <v>152.18899999999999</v>
      </c>
      <c r="D511" s="5">
        <f>+VLOOKUP(A511,Sheet6!A:D,4,0)</f>
        <v>0.11578947368421053</v>
      </c>
      <c r="E511" s="5">
        <f t="shared" si="7"/>
        <v>3.210842105263158E-4</v>
      </c>
      <c r="F511" s="5" cm="1">
        <f t="array" ref="F511">_xlfn.IFS(
    AND(C511&gt;C$535,D511&lt;D$535),1,
    AND(C511&gt;C$535,D511&gt;D$535),2,
    AND(C511&lt;C$535,D511&lt;D$535),4,
    AND(C511&lt;C$535,D511&gt;D$535),3,
    TRUE,""
)</f>
        <v>4</v>
      </c>
      <c r="H511" s="5"/>
      <c r="I511" s="5"/>
    </row>
    <row r="512" spans="1:9" x14ac:dyDescent="0.35">
      <c r="A512" s="1" t="s">
        <v>532</v>
      </c>
      <c r="B512" s="2">
        <v>69.756</v>
      </c>
      <c r="C512" s="2">
        <v>198.36199999999999</v>
      </c>
      <c r="D512" s="5">
        <f>+VLOOKUP(A512,Sheet6!A:D,4,0)</f>
        <v>0.31070889894419301</v>
      </c>
      <c r="E512" s="5">
        <f t="shared" si="7"/>
        <v>2.1673809954751128E-2</v>
      </c>
      <c r="F512" s="5" cm="1">
        <f t="array" ref="F512">_xlfn.IFS(
    AND(C512&gt;C$535,D512&lt;D$535),1,
    AND(C512&gt;C$535,D512&gt;D$535),2,
    AND(C512&lt;C$535,D512&lt;D$535),4,
    AND(C512&lt;C$535,D512&gt;D$535),3,
    TRUE,""
)</f>
        <v>3</v>
      </c>
      <c r="H512" s="5"/>
      <c r="I512" s="5"/>
    </row>
    <row r="513" spans="1:9" x14ac:dyDescent="0.35">
      <c r="A513" s="1" t="s">
        <v>533</v>
      </c>
      <c r="B513" s="2">
        <v>2.9510000000000001</v>
      </c>
      <c r="C513" s="2">
        <v>204.31100000000001</v>
      </c>
      <c r="D513" s="5">
        <f>+VLOOKUP(A513,Sheet6!A:D,4,0)</f>
        <v>0.36111111111111116</v>
      </c>
      <c r="E513" s="5">
        <f t="shared" si="7"/>
        <v>1.065638888888889E-3</v>
      </c>
      <c r="F513" s="5" cm="1">
        <f t="array" ref="F513">_xlfn.IFS(
    AND(C513&gt;C$535,D513&lt;D$535),1,
    AND(C513&gt;C$535,D513&gt;D$535),2,
    AND(C513&lt;C$535,D513&lt;D$535),4,
    AND(C513&lt;C$535,D513&gt;D$535),3,
    TRUE,""
)</f>
        <v>3</v>
      </c>
      <c r="H513" s="5"/>
      <c r="I513" s="5"/>
    </row>
    <row r="514" spans="1:9" x14ac:dyDescent="0.35">
      <c r="A514" s="1" t="s">
        <v>534</v>
      </c>
      <c r="B514" s="2">
        <v>23.138000000000002</v>
      </c>
      <c r="C514" s="2">
        <v>328.11599999999999</v>
      </c>
      <c r="D514" s="5">
        <f>+VLOOKUP(A514,Sheet6!A:D,4,0)</f>
        <v>0.38562091503267976</v>
      </c>
      <c r="E514" s="5">
        <f t="shared" ref="E514:E534" si="8">(B514*D514)/1000</f>
        <v>8.9224967320261448E-3</v>
      </c>
      <c r="F514" s="5" cm="1">
        <f t="array" ref="F514">_xlfn.IFS(
    AND(C514&gt;C$535,D514&lt;D$535),1,
    AND(C514&gt;C$535,D514&gt;D$535),2,
    AND(C514&lt;C$535,D514&lt;D$535),4,
    AND(C514&lt;C$535,D514&gt;D$535),3,
    TRUE,""
)</f>
        <v>2</v>
      </c>
      <c r="H514" s="5"/>
      <c r="I514" s="5"/>
    </row>
    <row r="515" spans="1:9" x14ac:dyDescent="0.35">
      <c r="A515" s="1" t="s">
        <v>535</v>
      </c>
      <c r="B515" s="1">
        <v>5.9479999999999998E-2</v>
      </c>
      <c r="C515" s="1">
        <v>0.32641000000000003</v>
      </c>
      <c r="D515" s="5">
        <f>+VLOOKUP(A515,Sheet6!A:D,4,0)</f>
        <v>0.31266375545851532</v>
      </c>
      <c r="E515" s="5">
        <f t="shared" si="8"/>
        <v>1.859724017467249E-5</v>
      </c>
      <c r="F515" s="5" cm="1">
        <f t="array" ref="F515">_xlfn.IFS(
    AND(C515&gt;C$535,D515&lt;D$535),1,
    AND(C515&gt;C$535,D515&gt;D$535),2,
    AND(C515&lt;C$535,D515&lt;D$535),4,
    AND(C515&lt;C$535,D515&gt;D$535),3,
    TRUE,""
)</f>
        <v>3</v>
      </c>
      <c r="H515" s="5"/>
      <c r="I515" s="5"/>
    </row>
    <row r="516" spans="1:9" x14ac:dyDescent="0.35">
      <c r="A516" s="1" t="s">
        <v>3</v>
      </c>
      <c r="B516" s="2">
        <v>23.071000000000002</v>
      </c>
      <c r="C516" s="2">
        <v>253.56200000000001</v>
      </c>
      <c r="D516" s="5">
        <f>+VLOOKUP(A516,Sheet6!A:D,4,0)</f>
        <v>0.22202486678507993</v>
      </c>
      <c r="E516" s="5">
        <f t="shared" si="8"/>
        <v>5.12233570159858E-3</v>
      </c>
      <c r="F516" s="5" cm="1">
        <f t="array" ref="F516">_xlfn.IFS(
    AND(C516&gt;C$535,D516&lt;D$535),1,
    AND(C516&gt;C$535,D516&gt;D$535),2,
    AND(C516&lt;C$535,D516&lt;D$535),4,
    AND(C516&lt;C$535,D516&gt;D$535),3,
    TRUE,""
)</f>
        <v>1</v>
      </c>
      <c r="H516" s="5"/>
      <c r="I516" s="5"/>
    </row>
    <row r="517" spans="1:9" x14ac:dyDescent="0.35">
      <c r="A517" s="1" t="s">
        <v>536</v>
      </c>
      <c r="B517" s="2">
        <v>33.738999999999997</v>
      </c>
      <c r="C517" s="2">
        <v>262.19099999999997</v>
      </c>
      <c r="D517" s="5">
        <f>+VLOOKUP(A517,Sheet6!A:D,4,0)</f>
        <v>0.23208722741433022</v>
      </c>
      <c r="E517" s="5">
        <f t="shared" si="8"/>
        <v>7.8303909657320859E-3</v>
      </c>
      <c r="F517" s="5" cm="1">
        <f t="array" ref="F517">_xlfn.IFS(
    AND(C517&gt;C$535,D517&lt;D$535),1,
    AND(C517&gt;C$535,D517&gt;D$535),2,
    AND(C517&lt;C$535,D517&lt;D$535),4,
    AND(C517&lt;C$535,D517&gt;D$535),3,
    TRUE,""
)</f>
        <v>1</v>
      </c>
      <c r="H517" s="5"/>
      <c r="I517" s="5"/>
    </row>
    <row r="518" spans="1:9" x14ac:dyDescent="0.35">
      <c r="A518" s="1" t="s">
        <v>2</v>
      </c>
      <c r="B518" s="2">
        <v>13.231999999999999</v>
      </c>
      <c r="C518" s="2">
        <v>309.85399999999998</v>
      </c>
      <c r="D518" s="5">
        <f>+VLOOKUP(A518,Sheet6!A:D,4,0)</f>
        <v>0.19521912350597612</v>
      </c>
      <c r="E518" s="5">
        <f t="shared" si="8"/>
        <v>2.5831394422310759E-3</v>
      </c>
      <c r="F518" s="5" cm="1">
        <f t="array" ref="F518">_xlfn.IFS(
    AND(C518&gt;C$535,D518&lt;D$535),1,
    AND(C518&gt;C$535,D518&gt;D$535),2,
    AND(C518&lt;C$535,D518&lt;D$535),4,
    AND(C518&lt;C$535,D518&gt;D$535),3,
    TRUE,""
)</f>
        <v>1</v>
      </c>
      <c r="H518" s="5"/>
      <c r="I518" s="5"/>
    </row>
    <row r="519" spans="1:9" x14ac:dyDescent="0.35">
      <c r="A519" s="1" t="s">
        <v>537</v>
      </c>
      <c r="B519" s="2">
        <v>11.573</v>
      </c>
      <c r="C519" s="2">
        <v>309.267</v>
      </c>
      <c r="D519" s="5">
        <f>+VLOOKUP(A519,Sheet6!A:D,4,0)</f>
        <v>0.18852459016393444</v>
      </c>
      <c r="E519" s="5">
        <f t="shared" si="8"/>
        <v>2.1817950819672132E-3</v>
      </c>
      <c r="F519" s="5" cm="1">
        <f t="array" ref="F519">_xlfn.IFS(
    AND(C519&gt;C$535,D519&lt;D$535),1,
    AND(C519&gt;C$535,D519&gt;D$535),2,
    AND(C519&lt;C$535,D519&lt;D$535),4,
    AND(C519&lt;C$535,D519&gt;D$535),3,
    TRUE,""
)</f>
        <v>1</v>
      </c>
      <c r="H519" s="5"/>
      <c r="I519" s="5"/>
    </row>
    <row r="520" spans="1:9" x14ac:dyDescent="0.35">
      <c r="A520" s="1" t="s">
        <v>538</v>
      </c>
      <c r="B520" s="1">
        <v>7.0400000000000003E-3</v>
      </c>
      <c r="C520" s="2">
        <v>195.02199999999999</v>
      </c>
      <c r="D520" s="5">
        <f>+VLOOKUP(A520,Sheet6!A:D,4,0)</f>
        <v>0.2752808988764045</v>
      </c>
      <c r="E520" s="5">
        <f t="shared" si="8"/>
        <v>1.9379775280898877E-6</v>
      </c>
      <c r="F520" s="5" cm="1">
        <f t="array" ref="F520">_xlfn.IFS(
    AND(C520&gt;C$535,D520&lt;D$535),1,
    AND(C520&gt;C$535,D520&gt;D$535),2,
    AND(C520&lt;C$535,D520&lt;D$535),4,
    AND(C520&lt;C$535,D520&gt;D$535),3,
    TRUE,""
)</f>
        <v>3</v>
      </c>
      <c r="H520" s="5"/>
      <c r="I520" s="5"/>
    </row>
    <row r="521" spans="1:9" x14ac:dyDescent="0.35">
      <c r="A521" s="1" t="s">
        <v>539</v>
      </c>
      <c r="B521" s="2">
        <v>74.293999999999997</v>
      </c>
      <c r="C521" s="2">
        <v>320.61599999999999</v>
      </c>
      <c r="D521" s="5">
        <f>+VLOOKUP(A521,Sheet6!A:D,4,0)</f>
        <v>0.22717770034843204</v>
      </c>
      <c r="E521" s="5">
        <f t="shared" si="8"/>
        <v>1.687794006968641E-2</v>
      </c>
      <c r="F521" s="5" cm="1">
        <f t="array" ref="F521">_xlfn.IFS(
    AND(C521&gt;C$535,D521&lt;D$535),1,
    AND(C521&gt;C$535,D521&gt;D$535),2,
    AND(C521&lt;C$535,D521&lt;D$535),4,
    AND(C521&lt;C$535,D521&gt;D$535),3,
    TRUE,""
)</f>
        <v>1</v>
      </c>
      <c r="H521" s="5"/>
      <c r="I521" s="5"/>
    </row>
    <row r="522" spans="1:9" x14ac:dyDescent="0.35">
      <c r="A522" s="1" t="s">
        <v>540</v>
      </c>
      <c r="B522" s="2">
        <v>70.989000000000004</v>
      </c>
      <c r="C522" s="2">
        <v>307.72300000000001</v>
      </c>
      <c r="D522" s="5">
        <f>+VLOOKUP(A522,Sheet6!A:D,4,0)</f>
        <v>0.28535669586983725</v>
      </c>
      <c r="E522" s="5">
        <f t="shared" si="8"/>
        <v>2.025718648310388E-2</v>
      </c>
      <c r="F522" s="5" cm="1">
        <f t="array" ref="F522">_xlfn.IFS(
    AND(C522&gt;C$535,D522&lt;D$535),1,
    AND(C522&gt;C$535,D522&gt;D$535),2,
    AND(C522&lt;C$535,D522&lt;D$535),4,
    AND(C522&lt;C$535,D522&gt;D$535),3,
    TRUE,""
)</f>
        <v>2</v>
      </c>
      <c r="H522" s="5"/>
      <c r="I522" s="5"/>
    </row>
    <row r="523" spans="1:9" x14ac:dyDescent="0.35">
      <c r="A523" s="1" t="s">
        <v>1</v>
      </c>
      <c r="B523" s="2">
        <v>13.739000000000001</v>
      </c>
      <c r="C523" s="2">
        <v>249.51400000000001</v>
      </c>
      <c r="D523" s="5">
        <f>+VLOOKUP(A523,Sheet6!A:D,4,0)</f>
        <v>0.46412556053811654</v>
      </c>
      <c r="E523" s="5">
        <f t="shared" si="8"/>
        <v>6.3766210762331837E-3</v>
      </c>
      <c r="F523" s="5" cm="1">
        <f t="array" ref="F523">_xlfn.IFS(
    AND(C523&gt;C$535,D523&lt;D$535),1,
    AND(C523&gt;C$535,D523&gt;D$535),2,
    AND(C523&lt;C$535,D523&lt;D$535),4,
    AND(C523&lt;C$535,D523&gt;D$535),3,
    TRUE,""
)</f>
        <v>2</v>
      </c>
      <c r="H523" s="5"/>
      <c r="I523" s="5"/>
    </row>
    <row r="524" spans="1:9" x14ac:dyDescent="0.35">
      <c r="A524" s="1" t="s">
        <v>541</v>
      </c>
      <c r="B524" s="2">
        <v>64.694999999999993</v>
      </c>
      <c r="C524" s="2">
        <v>226.202</v>
      </c>
      <c r="D524" s="5">
        <f>+VLOOKUP(A524,Sheet6!A:D,4,0)</f>
        <v>0.22376237623762377</v>
      </c>
      <c r="E524" s="5">
        <f t="shared" si="8"/>
        <v>1.4476306930693069E-2</v>
      </c>
      <c r="F524" s="5" cm="1">
        <f t="array" ref="F524">_xlfn.IFS(
    AND(C524&gt;C$535,D524&lt;D$535),1,
    AND(C524&gt;C$535,D524&gt;D$535),2,
    AND(C524&lt;C$535,D524&lt;D$535),4,
    AND(C524&lt;C$535,D524&gt;D$535),3,
    TRUE,""
)</f>
        <v>4</v>
      </c>
      <c r="H524" s="5"/>
      <c r="I524" s="5"/>
    </row>
    <row r="525" spans="1:9" x14ac:dyDescent="0.35">
      <c r="A525" s="1" t="s">
        <v>542</v>
      </c>
      <c r="B525" s="2">
        <v>61.411000000000001</v>
      </c>
      <c r="C525" s="2">
        <v>287.39299999999997</v>
      </c>
      <c r="D525" s="5">
        <f>+VLOOKUP(A525,Sheet6!A:D,4,0)</f>
        <v>0.19857235561323816</v>
      </c>
      <c r="E525" s="5">
        <f t="shared" si="8"/>
        <v>1.2194526930564569E-2</v>
      </c>
      <c r="F525" s="5" cm="1">
        <f t="array" ref="F525">_xlfn.IFS(
    AND(C525&gt;C$535,D525&lt;D$535),1,
    AND(C525&gt;C$535,D525&gt;D$535),2,
    AND(C525&lt;C$535,D525&lt;D$535),4,
    AND(C525&lt;C$535,D525&gt;D$535),3,
    TRUE,""
)</f>
        <v>1</v>
      </c>
      <c r="H525" s="5"/>
      <c r="I525" s="5"/>
    </row>
    <row r="526" spans="1:9" x14ac:dyDescent="0.35">
      <c r="A526" s="1" t="s">
        <v>543</v>
      </c>
      <c r="B526" s="2">
        <v>28.552</v>
      </c>
      <c r="C526" s="2">
        <v>356.334</v>
      </c>
      <c r="D526" s="5">
        <f>+VLOOKUP(A526,Sheet6!A:D,4,0)</f>
        <v>4.8951048951048959E-2</v>
      </c>
      <c r="E526" s="5">
        <f t="shared" si="8"/>
        <v>1.3976503496503498E-3</v>
      </c>
      <c r="F526" s="5" cm="1">
        <f t="array" ref="F526">_xlfn.IFS(
    AND(C526&gt;C$535,D526&lt;D$535),1,
    AND(C526&gt;C$535,D526&gt;D$535),2,
    AND(C526&lt;C$535,D526&lt;D$535),4,
    AND(C526&lt;C$535,D526&gt;D$535),3,
    TRUE,""
)</f>
        <v>1</v>
      </c>
      <c r="H526" s="5"/>
      <c r="I526" s="5"/>
    </row>
    <row r="527" spans="1:9" x14ac:dyDescent="0.35">
      <c r="A527" s="1" t="s">
        <v>544</v>
      </c>
      <c r="B527" s="2">
        <v>5.1459999999999999</v>
      </c>
      <c r="C527" s="2">
        <v>192.786</v>
      </c>
      <c r="D527" s="5">
        <f>+VLOOKUP(A527,Sheet6!A:D,4,0)</f>
        <v>0</v>
      </c>
      <c r="E527" s="5">
        <f t="shared" si="8"/>
        <v>0</v>
      </c>
      <c r="F527" s="5" cm="1">
        <f t="array" ref="F527">_xlfn.IFS(
    AND(C527&gt;C$535,D527&lt;D$535),1,
    AND(C527&gt;C$535,D527&gt;D$535),2,
    AND(C527&lt;C$535,D527&lt;D$535),4,
    AND(C527&lt;C$535,D527&gt;D$535),3,
    TRUE,""
)</f>
        <v>4</v>
      </c>
      <c r="H527" s="5"/>
      <c r="I527" s="5"/>
    </row>
    <row r="528" spans="1:9" x14ac:dyDescent="0.35">
      <c r="A528" s="1" t="s">
        <v>545</v>
      </c>
      <c r="B528" s="2">
        <v>2.6859999999999999</v>
      </c>
      <c r="C528" s="2">
        <v>53.606999999999999</v>
      </c>
      <c r="D528" s="5">
        <f>+VLOOKUP(A528,Sheet6!A:D,4,0)</f>
        <v>0.7407407407407407</v>
      </c>
      <c r="E528" s="5">
        <f t="shared" si="8"/>
        <v>1.9896296296296294E-3</v>
      </c>
      <c r="F528" s="5" cm="1">
        <f t="array" ref="F528">_xlfn.IFS(
    AND(C528&gt;C$535,D528&lt;D$535),1,
    AND(C528&gt;C$535,D528&gt;D$535),2,
    AND(C528&lt;C$535,D528&lt;D$535),4,
    AND(C528&lt;C$535,D528&gt;D$535),3,
    TRUE,""
)</f>
        <v>3</v>
      </c>
      <c r="H528" s="5"/>
      <c r="I528" s="5"/>
    </row>
    <row r="529" spans="1:9" x14ac:dyDescent="0.35">
      <c r="A529" s="1" t="s">
        <v>546</v>
      </c>
      <c r="B529" s="1">
        <v>2.5899999999999999E-3</v>
      </c>
      <c r="C529" s="2">
        <v>182.24299999999999</v>
      </c>
      <c r="D529" s="5">
        <f>+VLOOKUP(A529,Sheet6!A:D,4,0)</f>
        <v>0.1818181818181818</v>
      </c>
      <c r="E529" s="5">
        <f t="shared" si="8"/>
        <v>4.7090909090909082E-7</v>
      </c>
      <c r="F529" s="5" cm="1">
        <f t="array" ref="F529">_xlfn.IFS(
    AND(C529&gt;C$535,D529&lt;D$535),1,
    AND(C529&gt;C$535,D529&gt;D$535),2,
    AND(C529&lt;C$535,D529&lt;D$535),4,
    AND(C529&lt;C$535,D529&gt;D$535),3,
    TRUE,""
)</f>
        <v>4</v>
      </c>
      <c r="H529" s="5"/>
      <c r="I529" s="5"/>
    </row>
    <row r="530" spans="1:9" x14ac:dyDescent="0.35">
      <c r="A530" s="1" t="s">
        <v>547</v>
      </c>
      <c r="B530" s="2">
        <v>9.093</v>
      </c>
      <c r="C530" s="2">
        <v>243.60499999999999</v>
      </c>
      <c r="D530" s="5">
        <f>+VLOOKUP(A530,Sheet6!A:D,4,0)</f>
        <v>0.16190476190476191</v>
      </c>
      <c r="E530" s="5">
        <f t="shared" si="8"/>
        <v>1.4722000000000001E-3</v>
      </c>
      <c r="F530" s="5" cm="1">
        <f t="array" ref="F530">_xlfn.IFS(
    AND(C530&gt;C$535,D530&lt;D$535),1,
    AND(C530&gt;C$535,D530&gt;D$535),2,
    AND(C530&lt;C$535,D530&lt;D$535),4,
    AND(C530&lt;C$535,D530&gt;D$535),3,
    TRUE,""
)</f>
        <v>1</v>
      </c>
      <c r="H530" s="5"/>
      <c r="I530" s="5"/>
    </row>
    <row r="531" spans="1:9" ht="29" x14ac:dyDescent="0.35">
      <c r="A531" s="1" t="s">
        <v>548</v>
      </c>
      <c r="B531" s="2">
        <v>25.667999999999999</v>
      </c>
      <c r="C531" s="2">
        <v>312.065</v>
      </c>
      <c r="D531" s="5">
        <f>+VLOOKUP(A531,Sheet6!A:D,4,0)</f>
        <v>0.2077087794432548</v>
      </c>
      <c r="E531" s="5">
        <f t="shared" si="8"/>
        <v>5.3314689507494642E-3</v>
      </c>
      <c r="F531" s="5" cm="1">
        <f t="array" ref="F531">_xlfn.IFS(
    AND(C531&gt;C$535,D531&lt;D$535),1,
    AND(C531&gt;C$535,D531&gt;D$535),2,
    AND(C531&lt;C$535,D531&lt;D$535),4,
    AND(C531&lt;C$535,D531&gt;D$535),3,
    TRUE,""
)</f>
        <v>1</v>
      </c>
      <c r="H531" s="5"/>
      <c r="I531" s="5"/>
    </row>
    <row r="532" spans="1:9" x14ac:dyDescent="0.35">
      <c r="A532" s="1" t="s">
        <v>549</v>
      </c>
      <c r="B532" s="2">
        <v>42.628999999999998</v>
      </c>
      <c r="C532" s="2">
        <v>261.11099999999999</v>
      </c>
      <c r="D532" s="5">
        <f>+VLOOKUP(A532,Sheet6!A:D,4,0)</f>
        <v>0.3781749764816556</v>
      </c>
      <c r="E532" s="5">
        <f t="shared" si="8"/>
        <v>1.6121221072436496E-2</v>
      </c>
      <c r="F532" s="5" cm="1">
        <f t="array" ref="F532">_xlfn.IFS(
    AND(C532&gt;C$535,D532&lt;D$535),1,
    AND(C532&gt;C$535,D532&gt;D$535),2,
    AND(C532&lt;C$535,D532&lt;D$535),4,
    AND(C532&lt;C$535,D532&gt;D$535),3,
    TRUE,""
)</f>
        <v>2</v>
      </c>
      <c r="H532" s="5"/>
      <c r="I532" s="5"/>
    </row>
    <row r="533" spans="1:9" ht="29" x14ac:dyDescent="0.35">
      <c r="A533" s="1" t="s">
        <v>550</v>
      </c>
      <c r="B533" s="2">
        <v>60.664000000000001</v>
      </c>
      <c r="C533" s="2">
        <v>273.44099999999997</v>
      </c>
      <c r="D533" s="5">
        <f>+VLOOKUP(A533,Sheet6!A:D,4,0)</f>
        <v>0.1009104704097117</v>
      </c>
      <c r="E533" s="5">
        <f t="shared" si="8"/>
        <v>6.1216327769347502E-3</v>
      </c>
      <c r="F533" s="5" cm="1">
        <f t="array" ref="F533">_xlfn.IFS(
    AND(C533&gt;C$535,D533&lt;D$535),1,
    AND(C533&gt;C$535,D533&gt;D$535),2,
    AND(C533&lt;C$535,D533&lt;D$535),4,
    AND(C533&lt;C$535,D533&gt;D$535),3,
    TRUE,""
)</f>
        <v>1</v>
      </c>
      <c r="H533" s="5"/>
      <c r="I533" s="5"/>
    </row>
    <row r="534" spans="1:9" x14ac:dyDescent="0.35">
      <c r="A534" s="1" t="s">
        <v>0</v>
      </c>
      <c r="B534" s="2">
        <v>6.2990000000000004</v>
      </c>
      <c r="C534" s="2">
        <v>468.15199999999999</v>
      </c>
      <c r="D534" s="5">
        <f>+VLOOKUP(A534,Sheet6!A:D,4,0)</f>
        <v>0.26315789473684209</v>
      </c>
      <c r="E534" s="5">
        <f t="shared" si="8"/>
        <v>1.6576315789473682E-3</v>
      </c>
      <c r="F534" s="5" cm="1">
        <f t="array" ref="F534">_xlfn.IFS(
    AND(C534&gt;C$535,D534&lt;D$535),1,
    AND(C534&gt;C$535,D534&gt;D$535),2,
    AND(C534&lt;C$535,D534&lt;D$535),4,
    AND(C534&lt;C$535,D534&gt;D$535),3,
    TRUE,""
)</f>
        <v>2</v>
      </c>
      <c r="H534" s="5"/>
      <c r="I534" s="5"/>
    </row>
    <row r="535" spans="1:9" x14ac:dyDescent="0.35">
      <c r="A535" s="3" t="s">
        <v>572</v>
      </c>
      <c r="B535" s="14">
        <f>AVERAGE(B2:B534)</f>
        <v>24.698912026266438</v>
      </c>
      <c r="C535" s="14">
        <f t="shared" ref="C535:E535" si="9">AVERAGE(C2:C534)</f>
        <v>238.00982602251389</v>
      </c>
      <c r="D535" s="16">
        <f t="shared" si="9"/>
        <v>0.25659777491910157</v>
      </c>
      <c r="E535" s="14">
        <f t="shared" si="9"/>
        <v>5.8146479392515611E-3</v>
      </c>
      <c r="F535" s="5"/>
    </row>
  </sheetData>
  <conditionalFormatting sqref="A1:A535">
    <cfRule type="duplicateValues" dxfId="7" priority="8"/>
  </conditionalFormatting>
  <conditionalFormatting sqref="F1:F535">
    <cfRule type="cellIs" dxfId="6" priority="1" operator="equal">
      <formula>4</formula>
    </cfRule>
    <cfRule type="cellIs" dxfId="5" priority="2" operator="equal">
      <formula>3</formula>
    </cfRule>
    <cfRule type="cellIs" dxfId="4" priority="3" operator="equal">
      <formula>4</formula>
    </cfRule>
    <cfRule type="cellIs" dxfId="3" priority="4" operator="equal">
      <formula>2</formula>
    </cfRule>
    <cfRule type="cellIs" dxfId="2" priority="5" operator="equal">
      <formula>3</formula>
    </cfRule>
    <cfRule type="cellIs" dxfId="1" priority="6" operator="equal">
      <formula>2</formula>
    </cfRule>
    <cfRule type="cellIs" dxfId="0" priority="7" operator="equal">
      <formula>1</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1F4CF6-26A3-422E-B07A-3BF4BF14615D}">
  <sheetPr codeName="Sheet3"/>
  <dimension ref="A1:D836"/>
  <sheetViews>
    <sheetView workbookViewId="0">
      <selection activeCell="D1" sqref="D1"/>
    </sheetView>
  </sheetViews>
  <sheetFormatPr defaultRowHeight="14.5" x14ac:dyDescent="0.35"/>
  <cols>
    <col min="1" max="1" width="36" customWidth="1"/>
    <col min="2" max="2" width="50.08984375" customWidth="1"/>
    <col min="3" max="3" width="28.36328125" customWidth="1"/>
    <col min="4" max="4" width="15.81640625" customWidth="1"/>
  </cols>
  <sheetData>
    <row r="1" spans="1:4" s="5" customFormat="1" x14ac:dyDescent="0.35">
      <c r="A1" s="5" t="s">
        <v>566</v>
      </c>
      <c r="B1" s="5" t="s">
        <v>567</v>
      </c>
      <c r="C1" s="5" t="s">
        <v>568</v>
      </c>
      <c r="D1" s="5" t="s">
        <v>569</v>
      </c>
    </row>
    <row r="2" spans="1:4" ht="16" x14ac:dyDescent="0.35">
      <c r="A2" s="6" t="s">
        <v>552</v>
      </c>
      <c r="B2" s="7">
        <v>152.59</v>
      </c>
      <c r="C2" s="7">
        <v>675.33</v>
      </c>
      <c r="D2" s="5">
        <f t="shared" ref="D2:D65" si="0">B2/C2</f>
        <v>0.22594879540372853</v>
      </c>
    </row>
    <row r="3" spans="1:4" ht="16" x14ac:dyDescent="0.35">
      <c r="A3" s="6" t="s">
        <v>555</v>
      </c>
      <c r="B3" s="11">
        <v>0</v>
      </c>
      <c r="C3" s="7">
        <v>111.8</v>
      </c>
      <c r="D3" s="5">
        <f t="shared" si="0"/>
        <v>0</v>
      </c>
    </row>
    <row r="4" spans="1:4" ht="16" x14ac:dyDescent="0.35">
      <c r="A4" s="6" t="s">
        <v>560</v>
      </c>
      <c r="B4" s="11">
        <v>0</v>
      </c>
      <c r="C4" s="7">
        <v>65.27</v>
      </c>
      <c r="D4" s="5">
        <f t="shared" si="0"/>
        <v>0</v>
      </c>
    </row>
    <row r="5" spans="1:4" ht="16" x14ac:dyDescent="0.35">
      <c r="A5" s="8" t="s">
        <v>322</v>
      </c>
      <c r="B5" s="9">
        <v>3.98</v>
      </c>
      <c r="C5" s="9">
        <v>22.96</v>
      </c>
      <c r="D5" s="5">
        <f t="shared" si="0"/>
        <v>0.17334494773519163</v>
      </c>
    </row>
    <row r="6" spans="1:4" ht="16" x14ac:dyDescent="0.35">
      <c r="A6" s="8" t="s">
        <v>340</v>
      </c>
      <c r="B6" s="9">
        <v>5.53</v>
      </c>
      <c r="C6" s="9">
        <v>21.63</v>
      </c>
      <c r="D6" s="5">
        <f t="shared" si="0"/>
        <v>0.25566343042071199</v>
      </c>
    </row>
    <row r="7" spans="1:4" ht="16" x14ac:dyDescent="0.35">
      <c r="A7" s="8" t="s">
        <v>377</v>
      </c>
      <c r="B7" s="9">
        <v>4.18</v>
      </c>
      <c r="C7" s="9">
        <v>20.09</v>
      </c>
      <c r="D7" s="5">
        <f t="shared" si="0"/>
        <v>0.2080637132901941</v>
      </c>
    </row>
    <row r="8" spans="1:4" ht="16" x14ac:dyDescent="0.35">
      <c r="A8" s="8" t="s">
        <v>532</v>
      </c>
      <c r="B8" s="9">
        <v>6.18</v>
      </c>
      <c r="C8" s="9">
        <v>19.89</v>
      </c>
      <c r="D8" s="5">
        <f t="shared" si="0"/>
        <v>0.31070889894419301</v>
      </c>
    </row>
    <row r="9" spans="1:4" ht="16" x14ac:dyDescent="0.35">
      <c r="A9" s="8" t="s">
        <v>408</v>
      </c>
      <c r="B9" s="9">
        <v>4.5</v>
      </c>
      <c r="C9" s="9">
        <v>19.75</v>
      </c>
      <c r="D9" s="5">
        <f t="shared" si="0"/>
        <v>0.22784810126582278</v>
      </c>
    </row>
    <row r="10" spans="1:4" ht="16" x14ac:dyDescent="0.35">
      <c r="A10" s="8" t="s">
        <v>244</v>
      </c>
      <c r="B10" s="9">
        <v>5.93</v>
      </c>
      <c r="C10" s="9">
        <v>19.48</v>
      </c>
      <c r="D10" s="5">
        <f t="shared" si="0"/>
        <v>0.30441478439425051</v>
      </c>
    </row>
    <row r="11" spans="1:4" ht="16" x14ac:dyDescent="0.35">
      <c r="A11" s="8" t="s">
        <v>319</v>
      </c>
      <c r="B11" s="9">
        <v>3.76</v>
      </c>
      <c r="C11" s="9">
        <v>19.260000000000002</v>
      </c>
      <c r="D11" s="5">
        <f t="shared" si="0"/>
        <v>0.19522326064382137</v>
      </c>
    </row>
    <row r="12" spans="1:4" ht="16" x14ac:dyDescent="0.35">
      <c r="A12" s="8" t="s">
        <v>253</v>
      </c>
      <c r="B12" s="9">
        <v>3.63</v>
      </c>
      <c r="C12" s="9">
        <v>19.149999999999999</v>
      </c>
      <c r="D12" s="5">
        <f t="shared" si="0"/>
        <v>0.189556135770235</v>
      </c>
    </row>
    <row r="13" spans="1:4" ht="16" x14ac:dyDescent="0.35">
      <c r="A13" s="8" t="s">
        <v>328</v>
      </c>
      <c r="B13" s="9">
        <v>5.2</v>
      </c>
      <c r="C13" s="9">
        <v>19.05</v>
      </c>
      <c r="D13" s="5">
        <f t="shared" si="0"/>
        <v>0.27296587926509186</v>
      </c>
    </row>
    <row r="14" spans="1:4" ht="16" x14ac:dyDescent="0.35">
      <c r="A14" s="8" t="s">
        <v>348</v>
      </c>
      <c r="B14" s="10">
        <v>5</v>
      </c>
      <c r="C14" s="9">
        <v>18.760000000000002</v>
      </c>
      <c r="D14" s="5">
        <f t="shared" si="0"/>
        <v>0.26652452025586354</v>
      </c>
    </row>
    <row r="15" spans="1:4" ht="16" x14ac:dyDescent="0.35">
      <c r="A15" s="8" t="s">
        <v>375</v>
      </c>
      <c r="B15" s="9">
        <v>4.0599999999999996</v>
      </c>
      <c r="C15" s="9">
        <v>18.760000000000002</v>
      </c>
      <c r="D15" s="5">
        <f t="shared" si="0"/>
        <v>0.21641791044776115</v>
      </c>
    </row>
    <row r="16" spans="1:4" ht="16" x14ac:dyDescent="0.35">
      <c r="A16" s="8" t="s">
        <v>264</v>
      </c>
      <c r="B16" s="9">
        <v>4.3899999999999997</v>
      </c>
      <c r="C16" s="9">
        <v>18.670000000000002</v>
      </c>
      <c r="D16" s="5">
        <f t="shared" si="0"/>
        <v>0.23513658275307978</v>
      </c>
    </row>
    <row r="17" spans="1:4" ht="16" x14ac:dyDescent="0.35">
      <c r="A17" s="8" t="s">
        <v>159</v>
      </c>
      <c r="B17" s="9">
        <v>3.96</v>
      </c>
      <c r="C17" s="9">
        <v>18.3</v>
      </c>
      <c r="D17" s="5">
        <f t="shared" si="0"/>
        <v>0.21639344262295082</v>
      </c>
    </row>
    <row r="18" spans="1:4" ht="16" x14ac:dyDescent="0.35">
      <c r="A18" s="8" t="s">
        <v>235</v>
      </c>
      <c r="B18" s="9">
        <v>4.37</v>
      </c>
      <c r="C18" s="9">
        <v>18.04</v>
      </c>
      <c r="D18" s="5">
        <f t="shared" si="0"/>
        <v>0.24223946784922396</v>
      </c>
    </row>
    <row r="19" spans="1:4" ht="16" x14ac:dyDescent="0.35">
      <c r="A19" s="8" t="s">
        <v>185</v>
      </c>
      <c r="B19" s="9">
        <v>3.56</v>
      </c>
      <c r="C19" s="9">
        <v>17.88</v>
      </c>
      <c r="D19" s="5">
        <f t="shared" si="0"/>
        <v>0.19910514541387025</v>
      </c>
    </row>
    <row r="20" spans="1:4" ht="16" x14ac:dyDescent="0.35">
      <c r="A20" s="8" t="s">
        <v>380</v>
      </c>
      <c r="B20" s="9">
        <v>3.34</v>
      </c>
      <c r="C20" s="9">
        <v>17.559999999999999</v>
      </c>
      <c r="D20" s="5">
        <f t="shared" si="0"/>
        <v>0.19020501138952164</v>
      </c>
    </row>
    <row r="21" spans="1:4" ht="16" x14ac:dyDescent="0.35">
      <c r="A21" s="8" t="s">
        <v>256</v>
      </c>
      <c r="B21" s="9">
        <v>1.88</v>
      </c>
      <c r="C21" s="9">
        <v>17.510000000000002</v>
      </c>
      <c r="D21" s="5">
        <f t="shared" si="0"/>
        <v>0.10736721873215303</v>
      </c>
    </row>
    <row r="22" spans="1:4" ht="16" x14ac:dyDescent="0.35">
      <c r="A22" s="8" t="s">
        <v>168</v>
      </c>
      <c r="B22" s="9">
        <v>1.82</v>
      </c>
      <c r="C22" s="9">
        <v>17.45</v>
      </c>
      <c r="D22" s="5">
        <f t="shared" si="0"/>
        <v>0.10429799426934099</v>
      </c>
    </row>
    <row r="23" spans="1:4" ht="16" x14ac:dyDescent="0.35">
      <c r="A23" s="8" t="s">
        <v>184</v>
      </c>
      <c r="B23" s="9">
        <v>3.4</v>
      </c>
      <c r="C23" s="9">
        <v>17.43</v>
      </c>
      <c r="D23" s="5">
        <f t="shared" si="0"/>
        <v>0.19506597819850832</v>
      </c>
    </row>
    <row r="24" spans="1:4" ht="16" x14ac:dyDescent="0.35">
      <c r="A24" s="8" t="s">
        <v>310</v>
      </c>
      <c r="B24" s="9">
        <v>1.84</v>
      </c>
      <c r="C24" s="9">
        <v>17.350000000000001</v>
      </c>
      <c r="D24" s="5">
        <f t="shared" si="0"/>
        <v>0.10605187319884726</v>
      </c>
    </row>
    <row r="25" spans="1:4" ht="16" x14ac:dyDescent="0.35">
      <c r="A25" s="8" t="s">
        <v>521</v>
      </c>
      <c r="B25" s="9">
        <v>5.23</v>
      </c>
      <c r="C25" s="9">
        <v>17.21</v>
      </c>
      <c r="D25" s="5">
        <f t="shared" si="0"/>
        <v>0.30389308541545612</v>
      </c>
    </row>
    <row r="26" spans="1:4" ht="16" x14ac:dyDescent="0.35">
      <c r="A26" s="8" t="s">
        <v>250</v>
      </c>
      <c r="B26" s="10">
        <v>4</v>
      </c>
      <c r="C26" s="9">
        <v>17.04</v>
      </c>
      <c r="D26" s="5">
        <f t="shared" si="0"/>
        <v>0.23474178403755869</v>
      </c>
    </row>
    <row r="27" spans="1:4" ht="16" x14ac:dyDescent="0.35">
      <c r="A27" s="8" t="s">
        <v>321</v>
      </c>
      <c r="B27" s="9">
        <v>5.31</v>
      </c>
      <c r="C27" s="9">
        <v>16.989999999999998</v>
      </c>
      <c r="D27" s="5">
        <f t="shared" si="0"/>
        <v>0.31253678634490878</v>
      </c>
    </row>
    <row r="28" spans="1:4" ht="16" x14ac:dyDescent="0.35">
      <c r="A28" s="8" t="s">
        <v>204</v>
      </c>
      <c r="B28" s="9">
        <v>3.68</v>
      </c>
      <c r="C28" s="9">
        <v>16.899999999999999</v>
      </c>
      <c r="D28" s="5">
        <f t="shared" si="0"/>
        <v>0.21775147928994085</v>
      </c>
    </row>
    <row r="29" spans="1:4" ht="16" x14ac:dyDescent="0.35">
      <c r="A29" s="8" t="s">
        <v>386</v>
      </c>
      <c r="B29" s="9">
        <v>3.27</v>
      </c>
      <c r="C29" s="9">
        <v>16.87</v>
      </c>
      <c r="D29" s="5">
        <f t="shared" si="0"/>
        <v>0.19383521043272078</v>
      </c>
    </row>
    <row r="30" spans="1:4" ht="16" x14ac:dyDescent="0.35">
      <c r="A30" s="8" t="s">
        <v>172</v>
      </c>
      <c r="B30" s="9">
        <v>4.55</v>
      </c>
      <c r="C30" s="9">
        <v>16.59</v>
      </c>
      <c r="D30" s="5">
        <f t="shared" si="0"/>
        <v>0.27426160337552741</v>
      </c>
    </row>
    <row r="31" spans="1:4" ht="16" x14ac:dyDescent="0.35">
      <c r="A31" s="8" t="s">
        <v>422</v>
      </c>
      <c r="B31" s="9">
        <v>3.78</v>
      </c>
      <c r="C31" s="9">
        <v>16.559999999999999</v>
      </c>
      <c r="D31" s="5">
        <f t="shared" si="0"/>
        <v>0.22826086956521741</v>
      </c>
    </row>
    <row r="32" spans="1:4" ht="16" x14ac:dyDescent="0.35">
      <c r="A32" s="8" t="s">
        <v>396</v>
      </c>
      <c r="B32" s="9">
        <v>2.94</v>
      </c>
      <c r="C32" s="9">
        <v>16.54</v>
      </c>
      <c r="D32" s="5">
        <f t="shared" si="0"/>
        <v>0.1777509068923821</v>
      </c>
    </row>
    <row r="33" spans="1:4" ht="16" x14ac:dyDescent="0.35">
      <c r="A33" s="8" t="s">
        <v>493</v>
      </c>
      <c r="B33" s="9">
        <v>2.96</v>
      </c>
      <c r="C33" s="9">
        <v>16.43</v>
      </c>
      <c r="D33" s="5">
        <f t="shared" si="0"/>
        <v>0.18015824710894704</v>
      </c>
    </row>
    <row r="34" spans="1:4" ht="16" x14ac:dyDescent="0.35">
      <c r="A34" s="8" t="s">
        <v>190</v>
      </c>
      <c r="B34" s="9">
        <v>4.2300000000000004</v>
      </c>
      <c r="C34" s="9">
        <v>16.2</v>
      </c>
      <c r="D34" s="5">
        <f t="shared" si="0"/>
        <v>0.26111111111111113</v>
      </c>
    </row>
    <row r="35" spans="1:4" ht="16" x14ac:dyDescent="0.35">
      <c r="A35" s="8" t="s">
        <v>268</v>
      </c>
      <c r="B35" s="9">
        <v>3.94</v>
      </c>
      <c r="C35" s="9">
        <v>16.2</v>
      </c>
      <c r="D35" s="5">
        <f t="shared" si="0"/>
        <v>0.24320987654320989</v>
      </c>
    </row>
    <row r="36" spans="1:4" ht="16" x14ac:dyDescent="0.35">
      <c r="A36" s="8" t="s">
        <v>540</v>
      </c>
      <c r="B36" s="9">
        <v>4.5599999999999996</v>
      </c>
      <c r="C36" s="9">
        <v>15.98</v>
      </c>
      <c r="D36" s="5">
        <f t="shared" si="0"/>
        <v>0.28535669586983725</v>
      </c>
    </row>
    <row r="37" spans="1:4" ht="16" x14ac:dyDescent="0.35">
      <c r="A37" s="8" t="s">
        <v>160</v>
      </c>
      <c r="B37" s="9">
        <v>2.79</v>
      </c>
      <c r="C37" s="9">
        <v>15.95</v>
      </c>
      <c r="D37" s="5">
        <f t="shared" si="0"/>
        <v>0.17492163009404391</v>
      </c>
    </row>
    <row r="38" spans="1:4" ht="16" x14ac:dyDescent="0.35">
      <c r="A38" s="8" t="s">
        <v>336</v>
      </c>
      <c r="B38" s="9">
        <v>4.1399999999999997</v>
      </c>
      <c r="C38" s="9">
        <v>15.81</v>
      </c>
      <c r="D38" s="5">
        <f t="shared" si="0"/>
        <v>0.26185958254269448</v>
      </c>
    </row>
    <row r="39" spans="1:4" ht="16" x14ac:dyDescent="0.35">
      <c r="A39" s="8" t="s">
        <v>379</v>
      </c>
      <c r="B39" s="9">
        <v>2.78</v>
      </c>
      <c r="C39" s="9">
        <v>15.63</v>
      </c>
      <c r="D39" s="5">
        <f t="shared" si="0"/>
        <v>0.17786308381317975</v>
      </c>
    </row>
    <row r="40" spans="1:4" ht="16" x14ac:dyDescent="0.35">
      <c r="A40" s="8" t="s">
        <v>341</v>
      </c>
      <c r="B40" s="9">
        <v>3.83</v>
      </c>
      <c r="C40" s="9">
        <v>15.6</v>
      </c>
      <c r="D40" s="5">
        <f t="shared" si="0"/>
        <v>0.24551282051282053</v>
      </c>
    </row>
    <row r="41" spans="1:4" ht="16" x14ac:dyDescent="0.35">
      <c r="A41" s="8" t="s">
        <v>489</v>
      </c>
      <c r="B41" s="9">
        <v>2.09</v>
      </c>
      <c r="C41" s="9">
        <v>15.48</v>
      </c>
      <c r="D41" s="5">
        <f t="shared" si="0"/>
        <v>0.13501291989664083</v>
      </c>
    </row>
    <row r="42" spans="1:4" ht="16" x14ac:dyDescent="0.35">
      <c r="A42" s="8" t="s">
        <v>542</v>
      </c>
      <c r="B42" s="9">
        <v>3.06</v>
      </c>
      <c r="C42" s="9">
        <v>15.41</v>
      </c>
      <c r="D42" s="5">
        <f t="shared" si="0"/>
        <v>0.19857235561323816</v>
      </c>
    </row>
    <row r="43" spans="1:4" ht="16" x14ac:dyDescent="0.35">
      <c r="A43" s="8" t="s">
        <v>405</v>
      </c>
      <c r="B43" s="9">
        <v>4.63</v>
      </c>
      <c r="C43" s="9">
        <v>15.34</v>
      </c>
      <c r="D43" s="5">
        <f t="shared" si="0"/>
        <v>0.30182529335071706</v>
      </c>
    </row>
    <row r="44" spans="1:4" ht="16" x14ac:dyDescent="0.35">
      <c r="A44" s="8" t="s">
        <v>499</v>
      </c>
      <c r="B44" s="9">
        <v>2.35</v>
      </c>
      <c r="C44" s="9">
        <v>15.24</v>
      </c>
      <c r="D44" s="5">
        <f t="shared" si="0"/>
        <v>0.15419947506561679</v>
      </c>
    </row>
    <row r="45" spans="1:4" ht="16" x14ac:dyDescent="0.35">
      <c r="A45" s="8" t="s">
        <v>484</v>
      </c>
      <c r="B45" s="9">
        <v>2.8</v>
      </c>
      <c r="C45" s="9">
        <v>15.23</v>
      </c>
      <c r="D45" s="5">
        <f t="shared" si="0"/>
        <v>0.18384766907419564</v>
      </c>
    </row>
    <row r="46" spans="1:4" ht="16" x14ac:dyDescent="0.35">
      <c r="A46" s="8" t="s">
        <v>165</v>
      </c>
      <c r="B46" s="9">
        <v>3.69</v>
      </c>
      <c r="C46" s="9">
        <v>15.21</v>
      </c>
      <c r="D46" s="5">
        <f t="shared" si="0"/>
        <v>0.24260355029585798</v>
      </c>
    </row>
    <row r="47" spans="1:4" ht="16" x14ac:dyDescent="0.35">
      <c r="A47" s="8" t="s">
        <v>541</v>
      </c>
      <c r="B47" s="9">
        <v>3.39</v>
      </c>
      <c r="C47" s="9">
        <v>15.15</v>
      </c>
      <c r="D47" s="5">
        <f t="shared" si="0"/>
        <v>0.22376237623762377</v>
      </c>
    </row>
    <row r="48" spans="1:4" ht="16" x14ac:dyDescent="0.35">
      <c r="A48" s="8" t="s">
        <v>433</v>
      </c>
      <c r="B48" s="9">
        <v>2.13</v>
      </c>
      <c r="C48" s="9">
        <v>14.95</v>
      </c>
      <c r="D48" s="5">
        <f t="shared" si="0"/>
        <v>0.14247491638795987</v>
      </c>
    </row>
    <row r="49" spans="1:4" ht="16" x14ac:dyDescent="0.35">
      <c r="A49" s="8" t="s">
        <v>453</v>
      </c>
      <c r="B49" s="9">
        <v>2.16</v>
      </c>
      <c r="C49" s="9">
        <v>14.94</v>
      </c>
      <c r="D49" s="5">
        <f t="shared" si="0"/>
        <v>0.14457831325301207</v>
      </c>
    </row>
    <row r="50" spans="1:4" ht="16" x14ac:dyDescent="0.35">
      <c r="A50" s="8" t="s">
        <v>166</v>
      </c>
      <c r="B50" s="9">
        <v>3.93</v>
      </c>
      <c r="C50" s="9">
        <v>14.93</v>
      </c>
      <c r="D50" s="5">
        <f t="shared" si="0"/>
        <v>0.26322839919624919</v>
      </c>
    </row>
    <row r="51" spans="1:4" ht="16" x14ac:dyDescent="0.35">
      <c r="A51" s="8" t="s">
        <v>450</v>
      </c>
      <c r="B51" s="10">
        <v>3</v>
      </c>
      <c r="C51" s="9">
        <v>14.93</v>
      </c>
      <c r="D51" s="5">
        <f t="shared" si="0"/>
        <v>0.20093770931011387</v>
      </c>
    </row>
    <row r="52" spans="1:4" ht="16" x14ac:dyDescent="0.35">
      <c r="A52" s="8" t="s">
        <v>354</v>
      </c>
      <c r="B52" s="9">
        <v>3.95</v>
      </c>
      <c r="C52" s="9">
        <v>14.91</v>
      </c>
      <c r="D52" s="5">
        <f t="shared" si="0"/>
        <v>0.26492287055667341</v>
      </c>
    </row>
    <row r="53" spans="1:4" ht="16" x14ac:dyDescent="0.35">
      <c r="A53" s="8" t="s">
        <v>344</v>
      </c>
      <c r="B53" s="9">
        <v>2.48</v>
      </c>
      <c r="C53" s="9">
        <v>14.87</v>
      </c>
      <c r="D53" s="5">
        <f t="shared" si="0"/>
        <v>0.16677874915938132</v>
      </c>
    </row>
    <row r="54" spans="1:4" ht="16" x14ac:dyDescent="0.35">
      <c r="A54" s="8" t="s">
        <v>192</v>
      </c>
      <c r="B54" s="9">
        <v>4.03</v>
      </c>
      <c r="C54" s="9">
        <v>14.81</v>
      </c>
      <c r="D54" s="5">
        <f t="shared" si="0"/>
        <v>0.27211343686698175</v>
      </c>
    </row>
    <row r="55" spans="1:4" ht="16" x14ac:dyDescent="0.35">
      <c r="A55" s="8" t="s">
        <v>127</v>
      </c>
      <c r="B55" s="9">
        <v>3.55</v>
      </c>
      <c r="C55" s="9">
        <v>14.81</v>
      </c>
      <c r="D55" s="5">
        <f t="shared" si="0"/>
        <v>0.23970290344361916</v>
      </c>
    </row>
    <row r="56" spans="1:4" ht="16" x14ac:dyDescent="0.35">
      <c r="A56" s="8" t="s">
        <v>509</v>
      </c>
      <c r="B56" s="9">
        <v>3.32</v>
      </c>
      <c r="C56" s="9">
        <v>14.69</v>
      </c>
      <c r="D56" s="5">
        <f t="shared" si="0"/>
        <v>0.22600408441116404</v>
      </c>
    </row>
    <row r="57" spans="1:4" ht="16" x14ac:dyDescent="0.35">
      <c r="A57" s="8" t="s">
        <v>317</v>
      </c>
      <c r="B57" s="9">
        <v>3.04</v>
      </c>
      <c r="C57" s="9">
        <v>14.52</v>
      </c>
      <c r="D57" s="5">
        <f t="shared" si="0"/>
        <v>0.20936639118457301</v>
      </c>
    </row>
    <row r="58" spans="1:4" ht="16" x14ac:dyDescent="0.35">
      <c r="A58" s="8" t="s">
        <v>400</v>
      </c>
      <c r="B58" s="9">
        <v>3.53</v>
      </c>
      <c r="C58" s="9">
        <v>14.42</v>
      </c>
      <c r="D58" s="5">
        <f t="shared" si="0"/>
        <v>0.24479889042995837</v>
      </c>
    </row>
    <row r="59" spans="1:4" ht="16" x14ac:dyDescent="0.35">
      <c r="A59" s="8" t="s">
        <v>225</v>
      </c>
      <c r="B59" s="9">
        <v>5.54</v>
      </c>
      <c r="C59" s="9">
        <v>14.37</v>
      </c>
      <c r="D59" s="5">
        <f t="shared" si="0"/>
        <v>0.38552540013917885</v>
      </c>
    </row>
    <row r="60" spans="1:4" ht="16" x14ac:dyDescent="0.35">
      <c r="A60" s="8" t="s">
        <v>445</v>
      </c>
      <c r="B60" s="10">
        <v>0</v>
      </c>
      <c r="C60" s="9">
        <v>14.37</v>
      </c>
      <c r="D60" s="5">
        <f t="shared" si="0"/>
        <v>0</v>
      </c>
    </row>
    <row r="61" spans="1:4" ht="16" x14ac:dyDescent="0.35">
      <c r="A61" s="8" t="s">
        <v>539</v>
      </c>
      <c r="B61" s="9">
        <v>3.26</v>
      </c>
      <c r="C61" s="9">
        <v>14.35</v>
      </c>
      <c r="D61" s="5">
        <f t="shared" si="0"/>
        <v>0.22717770034843204</v>
      </c>
    </row>
    <row r="62" spans="1:4" ht="16" x14ac:dyDescent="0.35">
      <c r="A62" s="8" t="s">
        <v>468</v>
      </c>
      <c r="B62" s="9">
        <v>1.95</v>
      </c>
      <c r="C62" s="9">
        <v>14.23</v>
      </c>
      <c r="D62" s="5">
        <f t="shared" si="0"/>
        <v>0.13703443429374559</v>
      </c>
    </row>
    <row r="63" spans="1:4" ht="16" x14ac:dyDescent="0.35">
      <c r="A63" s="8" t="s">
        <v>517</v>
      </c>
      <c r="B63" s="9">
        <v>1.67</v>
      </c>
      <c r="C63" s="9">
        <v>14.23</v>
      </c>
      <c r="D63" s="5">
        <f t="shared" si="0"/>
        <v>0.11735769501054111</v>
      </c>
    </row>
    <row r="64" spans="1:4" ht="16" x14ac:dyDescent="0.35">
      <c r="A64" s="8" t="s">
        <v>223</v>
      </c>
      <c r="B64" s="9">
        <v>2.71</v>
      </c>
      <c r="C64" s="9">
        <v>14.05</v>
      </c>
      <c r="D64" s="5">
        <f t="shared" si="0"/>
        <v>0.19288256227758005</v>
      </c>
    </row>
    <row r="65" spans="1:4" ht="16" x14ac:dyDescent="0.35">
      <c r="A65" s="8" t="s">
        <v>308</v>
      </c>
      <c r="B65" s="9">
        <v>2.5299999999999998</v>
      </c>
      <c r="C65" s="9">
        <v>13.98</v>
      </c>
      <c r="D65" s="5">
        <f t="shared" si="0"/>
        <v>0.18097281831187409</v>
      </c>
    </row>
    <row r="66" spans="1:4" ht="16" x14ac:dyDescent="0.35">
      <c r="A66" s="8" t="s">
        <v>431</v>
      </c>
      <c r="B66" s="9">
        <v>4.26</v>
      </c>
      <c r="C66" s="9">
        <v>13.97</v>
      </c>
      <c r="D66" s="5">
        <f t="shared" ref="D66:D129" si="1">B66/C66</f>
        <v>0.30493915533285609</v>
      </c>
    </row>
    <row r="67" spans="1:4" ht="16" x14ac:dyDescent="0.35">
      <c r="A67" s="8" t="s">
        <v>211</v>
      </c>
      <c r="B67" s="9">
        <v>3.79</v>
      </c>
      <c r="C67" s="9">
        <v>13.94</v>
      </c>
      <c r="D67" s="5">
        <f t="shared" si="1"/>
        <v>0.27187948350071739</v>
      </c>
    </row>
    <row r="68" spans="1:4" ht="16" x14ac:dyDescent="0.35">
      <c r="A68" s="8" t="s">
        <v>248</v>
      </c>
      <c r="B68" s="9">
        <v>2.95</v>
      </c>
      <c r="C68" s="9">
        <v>13.9</v>
      </c>
      <c r="D68" s="5">
        <f t="shared" si="1"/>
        <v>0.21223021582733814</v>
      </c>
    </row>
    <row r="69" spans="1:4" ht="16" x14ac:dyDescent="0.35">
      <c r="A69" s="8" t="s">
        <v>52</v>
      </c>
      <c r="B69" s="10">
        <v>0</v>
      </c>
      <c r="C69" s="9">
        <v>13.87</v>
      </c>
      <c r="D69" s="5">
        <f t="shared" si="1"/>
        <v>0</v>
      </c>
    </row>
    <row r="70" spans="1:4" ht="16" x14ac:dyDescent="0.35">
      <c r="A70" s="8" t="s">
        <v>98</v>
      </c>
      <c r="B70" s="9">
        <v>4.13</v>
      </c>
      <c r="C70" s="9">
        <v>13.82</v>
      </c>
      <c r="D70" s="5">
        <f t="shared" si="1"/>
        <v>0.29884225759768451</v>
      </c>
    </row>
    <row r="71" spans="1:4" ht="16" x14ac:dyDescent="0.35">
      <c r="A71" s="8" t="s">
        <v>295</v>
      </c>
      <c r="B71" s="9">
        <v>2.78</v>
      </c>
      <c r="C71" s="9">
        <v>13.82</v>
      </c>
      <c r="D71" s="5">
        <f t="shared" si="1"/>
        <v>0.20115774240231546</v>
      </c>
    </row>
    <row r="72" spans="1:4" ht="16" x14ac:dyDescent="0.35">
      <c r="A72" s="8" t="s">
        <v>378</v>
      </c>
      <c r="B72" s="9">
        <v>2.66</v>
      </c>
      <c r="C72" s="9">
        <v>13.77</v>
      </c>
      <c r="D72" s="5">
        <f t="shared" si="1"/>
        <v>0.19317356572258534</v>
      </c>
    </row>
    <row r="73" spans="1:4" ht="16" x14ac:dyDescent="0.35">
      <c r="A73" s="8" t="s">
        <v>274</v>
      </c>
      <c r="B73" s="9">
        <v>2.2200000000000002</v>
      </c>
      <c r="C73" s="9">
        <v>13.77</v>
      </c>
      <c r="D73" s="5">
        <f t="shared" si="1"/>
        <v>0.16122004357298478</v>
      </c>
    </row>
    <row r="74" spans="1:4" ht="16" x14ac:dyDescent="0.35">
      <c r="A74" s="8" t="s">
        <v>280</v>
      </c>
      <c r="B74" s="9">
        <v>2.59</v>
      </c>
      <c r="C74" s="9">
        <v>13.76</v>
      </c>
      <c r="D74" s="5">
        <f t="shared" si="1"/>
        <v>0.18822674418604651</v>
      </c>
    </row>
    <row r="75" spans="1:4" ht="16" x14ac:dyDescent="0.35">
      <c r="A75" s="8" t="s">
        <v>229</v>
      </c>
      <c r="B75" s="9">
        <v>4.41</v>
      </c>
      <c r="C75" s="9">
        <v>13.66</v>
      </c>
      <c r="D75" s="5">
        <f t="shared" si="1"/>
        <v>0.32284040995607616</v>
      </c>
    </row>
    <row r="76" spans="1:4" ht="16" x14ac:dyDescent="0.35">
      <c r="A76" s="8" t="s">
        <v>515</v>
      </c>
      <c r="B76" s="9">
        <v>1.52</v>
      </c>
      <c r="C76" s="9">
        <v>13.6</v>
      </c>
      <c r="D76" s="5">
        <f t="shared" si="1"/>
        <v>0.11176470588235295</v>
      </c>
    </row>
    <row r="77" spans="1:4" ht="16" x14ac:dyDescent="0.35">
      <c r="A77" s="8" t="s">
        <v>271</v>
      </c>
      <c r="B77" s="9">
        <v>6.94</v>
      </c>
      <c r="C77" s="9">
        <v>13.57</v>
      </c>
      <c r="D77" s="5">
        <f t="shared" si="1"/>
        <v>0.51142225497420779</v>
      </c>
    </row>
    <row r="78" spans="1:4" ht="16" x14ac:dyDescent="0.35">
      <c r="A78" s="8" t="s">
        <v>20</v>
      </c>
      <c r="B78" s="9">
        <v>3.7</v>
      </c>
      <c r="C78" s="9">
        <v>13.57</v>
      </c>
      <c r="D78" s="5">
        <f t="shared" si="1"/>
        <v>0.27266028002947679</v>
      </c>
    </row>
    <row r="79" spans="1:4" ht="16" x14ac:dyDescent="0.35">
      <c r="A79" s="8" t="s">
        <v>327</v>
      </c>
      <c r="B79" s="9">
        <v>2.08</v>
      </c>
      <c r="C79" s="9">
        <v>13.54</v>
      </c>
      <c r="D79" s="5">
        <f t="shared" si="1"/>
        <v>0.15361890694239291</v>
      </c>
    </row>
    <row r="80" spans="1:4" ht="16" x14ac:dyDescent="0.35">
      <c r="A80" s="8" t="s">
        <v>496</v>
      </c>
      <c r="B80" s="9">
        <v>5.44</v>
      </c>
      <c r="C80" s="9">
        <v>13.36</v>
      </c>
      <c r="D80" s="5">
        <f t="shared" si="1"/>
        <v>0.40718562874251502</v>
      </c>
    </row>
    <row r="81" spans="1:4" ht="16" x14ac:dyDescent="0.35">
      <c r="A81" s="8" t="s">
        <v>519</v>
      </c>
      <c r="B81" s="9">
        <v>3.93</v>
      </c>
      <c r="C81" s="9">
        <v>13.32</v>
      </c>
      <c r="D81" s="5">
        <f t="shared" si="1"/>
        <v>0.29504504504504503</v>
      </c>
    </row>
    <row r="82" spans="1:4" ht="16" x14ac:dyDescent="0.35">
      <c r="A82" s="8" t="s">
        <v>469</v>
      </c>
      <c r="B82" s="9">
        <v>4.5599999999999996</v>
      </c>
      <c r="C82" s="9">
        <v>13.21</v>
      </c>
      <c r="D82" s="5">
        <f t="shared" si="1"/>
        <v>0.34519303557910669</v>
      </c>
    </row>
    <row r="83" spans="1:4" ht="16" x14ac:dyDescent="0.35">
      <c r="A83" s="8" t="s">
        <v>550</v>
      </c>
      <c r="B83" s="9">
        <v>1.33</v>
      </c>
      <c r="C83" s="9">
        <v>13.18</v>
      </c>
      <c r="D83" s="5">
        <f t="shared" si="1"/>
        <v>0.1009104704097117</v>
      </c>
    </row>
    <row r="84" spans="1:4" ht="16" x14ac:dyDescent="0.35">
      <c r="A84" s="8" t="s">
        <v>196</v>
      </c>
      <c r="B84" s="9">
        <v>1.61</v>
      </c>
      <c r="C84" s="9">
        <v>13.14</v>
      </c>
      <c r="D84" s="5">
        <f t="shared" si="1"/>
        <v>0.12252663622526637</v>
      </c>
    </row>
    <row r="85" spans="1:4" ht="16" x14ac:dyDescent="0.35">
      <c r="A85" s="8" t="s">
        <v>443</v>
      </c>
      <c r="B85" s="9">
        <v>3.61</v>
      </c>
      <c r="C85" s="9">
        <v>13.13</v>
      </c>
      <c r="D85" s="5">
        <f t="shared" si="1"/>
        <v>0.2749428789032749</v>
      </c>
    </row>
    <row r="86" spans="1:4" ht="16" x14ac:dyDescent="0.35">
      <c r="A86" s="8" t="s">
        <v>513</v>
      </c>
      <c r="B86" s="9">
        <v>3.98</v>
      </c>
      <c r="C86" s="9">
        <v>13.08</v>
      </c>
      <c r="D86" s="5">
        <f t="shared" si="1"/>
        <v>0.30428134556574921</v>
      </c>
    </row>
    <row r="87" spans="1:4" ht="16" x14ac:dyDescent="0.35">
      <c r="A87" s="8" t="s">
        <v>315</v>
      </c>
      <c r="B87" s="9">
        <v>4.34</v>
      </c>
      <c r="C87" s="9">
        <v>13.06</v>
      </c>
      <c r="D87" s="5">
        <f t="shared" si="1"/>
        <v>0.33231240428790199</v>
      </c>
    </row>
    <row r="88" spans="1:4" ht="16" x14ac:dyDescent="0.35">
      <c r="A88" s="8" t="s">
        <v>481</v>
      </c>
      <c r="B88" s="9">
        <v>3.5</v>
      </c>
      <c r="C88" s="9">
        <v>13.04</v>
      </c>
      <c r="D88" s="5">
        <f t="shared" si="1"/>
        <v>0.26840490797546013</v>
      </c>
    </row>
    <row r="89" spans="1:4" ht="16" x14ac:dyDescent="0.35">
      <c r="A89" s="8" t="s">
        <v>275</v>
      </c>
      <c r="B89" s="9">
        <v>3.13</v>
      </c>
      <c r="C89" s="9">
        <v>12.99</v>
      </c>
      <c r="D89" s="5">
        <f t="shared" si="1"/>
        <v>0.24095458044649729</v>
      </c>
    </row>
    <row r="90" spans="1:4" ht="16" x14ac:dyDescent="0.35">
      <c r="A90" s="8" t="s">
        <v>316</v>
      </c>
      <c r="B90" s="9">
        <v>1.68</v>
      </c>
      <c r="C90" s="9">
        <v>12.89</v>
      </c>
      <c r="D90" s="5">
        <f t="shared" si="1"/>
        <v>0.13033359193173003</v>
      </c>
    </row>
    <row r="91" spans="1:4" ht="16" x14ac:dyDescent="0.35">
      <c r="A91" s="8" t="s">
        <v>178</v>
      </c>
      <c r="B91" s="9">
        <v>2.39</v>
      </c>
      <c r="C91" s="9">
        <v>12.81</v>
      </c>
      <c r="D91" s="5">
        <f t="shared" si="1"/>
        <v>0.18657298985167839</v>
      </c>
    </row>
    <row r="92" spans="1:4" ht="16" x14ac:dyDescent="0.35">
      <c r="A92" s="8" t="s">
        <v>257</v>
      </c>
      <c r="B92" s="9">
        <v>2.4300000000000002</v>
      </c>
      <c r="C92" s="9">
        <v>12.76</v>
      </c>
      <c r="D92" s="5">
        <f t="shared" si="1"/>
        <v>0.19043887147335425</v>
      </c>
    </row>
    <row r="93" spans="1:4" ht="16" x14ac:dyDescent="0.35">
      <c r="A93" s="8" t="s">
        <v>265</v>
      </c>
      <c r="B93" s="9">
        <v>3.1</v>
      </c>
      <c r="C93" s="9">
        <v>12.65</v>
      </c>
      <c r="D93" s="5">
        <f t="shared" si="1"/>
        <v>0.24505928853754941</v>
      </c>
    </row>
    <row r="94" spans="1:4" ht="16" x14ac:dyDescent="0.35">
      <c r="A94" s="8" t="s">
        <v>201</v>
      </c>
      <c r="B94" s="9">
        <v>6.97</v>
      </c>
      <c r="C94" s="9">
        <v>12.56</v>
      </c>
      <c r="D94" s="5">
        <f t="shared" si="1"/>
        <v>0.55493630573248398</v>
      </c>
    </row>
    <row r="95" spans="1:4" ht="16" x14ac:dyDescent="0.35">
      <c r="A95" s="8" t="s">
        <v>454</v>
      </c>
      <c r="B95" s="9">
        <v>1.69</v>
      </c>
      <c r="C95" s="9">
        <v>12.55</v>
      </c>
      <c r="D95" s="5">
        <f t="shared" si="1"/>
        <v>0.1346613545816733</v>
      </c>
    </row>
    <row r="96" spans="1:4" ht="16" x14ac:dyDescent="0.35">
      <c r="A96" s="8" t="s">
        <v>233</v>
      </c>
      <c r="B96" s="9">
        <v>2.4300000000000002</v>
      </c>
      <c r="C96" s="9">
        <v>12.46</v>
      </c>
      <c r="D96" s="5">
        <f t="shared" si="1"/>
        <v>0.19502407704654895</v>
      </c>
    </row>
    <row r="97" spans="1:4" ht="16" x14ac:dyDescent="0.35">
      <c r="A97" s="8" t="s">
        <v>507</v>
      </c>
      <c r="B97" s="9">
        <v>3.36</v>
      </c>
      <c r="C97" s="9">
        <v>12.45</v>
      </c>
      <c r="D97" s="5">
        <f t="shared" si="1"/>
        <v>0.26987951807228916</v>
      </c>
    </row>
    <row r="98" spans="1:4" ht="16" x14ac:dyDescent="0.35">
      <c r="A98" s="8" t="s">
        <v>305</v>
      </c>
      <c r="B98" s="9">
        <v>2.21</v>
      </c>
      <c r="C98" s="9">
        <v>12.17</v>
      </c>
      <c r="D98" s="5">
        <f t="shared" si="1"/>
        <v>0.18159408381265407</v>
      </c>
    </row>
    <row r="99" spans="1:4" ht="16" x14ac:dyDescent="0.35">
      <c r="A99" s="8" t="s">
        <v>219</v>
      </c>
      <c r="B99" s="9">
        <v>3.06</v>
      </c>
      <c r="C99" s="9">
        <v>12.12</v>
      </c>
      <c r="D99" s="5">
        <f t="shared" si="1"/>
        <v>0.25247524752475248</v>
      </c>
    </row>
    <row r="100" spans="1:4" ht="16" x14ac:dyDescent="0.35">
      <c r="A100" s="8" t="s">
        <v>438</v>
      </c>
      <c r="B100" s="9">
        <v>3.37</v>
      </c>
      <c r="C100" s="9">
        <v>12.08</v>
      </c>
      <c r="D100" s="5">
        <f t="shared" si="1"/>
        <v>0.27897350993377484</v>
      </c>
    </row>
    <row r="101" spans="1:4" ht="16" x14ac:dyDescent="0.35">
      <c r="A101" s="8" t="s">
        <v>183</v>
      </c>
      <c r="B101" s="9">
        <v>3.29</v>
      </c>
      <c r="C101" s="9">
        <v>11.94</v>
      </c>
      <c r="D101" s="5">
        <f t="shared" si="1"/>
        <v>0.27554438860971525</v>
      </c>
    </row>
    <row r="102" spans="1:4" ht="16" x14ac:dyDescent="0.35">
      <c r="A102" s="8" t="s">
        <v>365</v>
      </c>
      <c r="B102" s="9">
        <v>1.81</v>
      </c>
      <c r="C102" s="9">
        <v>11.92</v>
      </c>
      <c r="D102" s="5">
        <f t="shared" si="1"/>
        <v>0.15184563758389263</v>
      </c>
    </row>
    <row r="103" spans="1:4" ht="16" x14ac:dyDescent="0.35">
      <c r="A103" s="8" t="s">
        <v>283</v>
      </c>
      <c r="B103" s="9">
        <v>1.24</v>
      </c>
      <c r="C103" s="9">
        <v>11.92</v>
      </c>
      <c r="D103" s="5">
        <f t="shared" si="1"/>
        <v>0.1040268456375839</v>
      </c>
    </row>
    <row r="104" spans="1:4" ht="16" x14ac:dyDescent="0.35">
      <c r="A104" s="8" t="s">
        <v>402</v>
      </c>
      <c r="B104" s="9">
        <v>1.32</v>
      </c>
      <c r="C104" s="9">
        <v>11.87</v>
      </c>
      <c r="D104" s="5">
        <f t="shared" si="1"/>
        <v>0.11120471777590565</v>
      </c>
    </row>
    <row r="105" spans="1:4" ht="16" x14ac:dyDescent="0.35">
      <c r="A105" s="8" t="s">
        <v>460</v>
      </c>
      <c r="B105" s="9">
        <v>3.96</v>
      </c>
      <c r="C105" s="9">
        <v>11.83</v>
      </c>
      <c r="D105" s="5">
        <f t="shared" si="1"/>
        <v>0.33474218089602703</v>
      </c>
    </row>
    <row r="106" spans="1:4" ht="16" x14ac:dyDescent="0.35">
      <c r="A106" s="8" t="s">
        <v>525</v>
      </c>
      <c r="B106" s="10">
        <v>3</v>
      </c>
      <c r="C106" s="9">
        <v>11.77</v>
      </c>
      <c r="D106" s="5">
        <f t="shared" si="1"/>
        <v>0.25488530161427359</v>
      </c>
    </row>
    <row r="107" spans="1:4" ht="16" x14ac:dyDescent="0.35">
      <c r="A107" s="8" t="s">
        <v>236</v>
      </c>
      <c r="B107" s="9">
        <v>3.14</v>
      </c>
      <c r="C107" s="9">
        <v>11.72</v>
      </c>
      <c r="D107" s="5">
        <f t="shared" si="1"/>
        <v>0.26791808873720135</v>
      </c>
    </row>
    <row r="108" spans="1:4" ht="16" x14ac:dyDescent="0.35">
      <c r="A108" s="8" t="s">
        <v>486</v>
      </c>
      <c r="B108" s="9">
        <v>2.44</v>
      </c>
      <c r="C108" s="9">
        <v>11.71</v>
      </c>
      <c r="D108" s="5">
        <f t="shared" si="1"/>
        <v>0.20836891545687444</v>
      </c>
    </row>
    <row r="109" spans="1:4" ht="16" x14ac:dyDescent="0.35">
      <c r="A109" s="8" t="s">
        <v>505</v>
      </c>
      <c r="B109" s="9">
        <v>2.37</v>
      </c>
      <c r="C109" s="9">
        <v>11.6</v>
      </c>
      <c r="D109" s="5">
        <f t="shared" si="1"/>
        <v>0.20431034482758623</v>
      </c>
    </row>
    <row r="110" spans="1:4" ht="16" x14ac:dyDescent="0.35">
      <c r="A110" s="8" t="s">
        <v>213</v>
      </c>
      <c r="B110" s="9">
        <v>2.57</v>
      </c>
      <c r="C110" s="9">
        <v>11.5</v>
      </c>
      <c r="D110" s="5">
        <f t="shared" si="1"/>
        <v>0.22347826086956521</v>
      </c>
    </row>
    <row r="111" spans="1:4" ht="16" x14ac:dyDescent="0.35">
      <c r="A111" s="8" t="s">
        <v>150</v>
      </c>
      <c r="B111" s="9">
        <v>2.78</v>
      </c>
      <c r="C111" s="9">
        <v>11.46</v>
      </c>
      <c r="D111" s="5">
        <f t="shared" si="1"/>
        <v>0.24258289703315877</v>
      </c>
    </row>
    <row r="112" spans="1:4" ht="16" x14ac:dyDescent="0.35">
      <c r="A112" s="8" t="s">
        <v>535</v>
      </c>
      <c r="B112" s="9">
        <v>3.58</v>
      </c>
      <c r="C112" s="9">
        <v>11.45</v>
      </c>
      <c r="D112" s="5">
        <f t="shared" si="1"/>
        <v>0.31266375545851532</v>
      </c>
    </row>
    <row r="113" spans="1:4" ht="16" x14ac:dyDescent="0.35">
      <c r="A113" s="8" t="s">
        <v>444</v>
      </c>
      <c r="B113" s="9">
        <v>2.83</v>
      </c>
      <c r="C113" s="9">
        <v>11.38</v>
      </c>
      <c r="D113" s="5">
        <f t="shared" si="1"/>
        <v>0.24868189806678381</v>
      </c>
    </row>
    <row r="114" spans="1:4" ht="16" x14ac:dyDescent="0.35">
      <c r="A114" s="8" t="s">
        <v>10</v>
      </c>
      <c r="B114" s="9">
        <v>2.64</v>
      </c>
      <c r="C114" s="9">
        <v>11.32</v>
      </c>
      <c r="D114" s="5">
        <f t="shared" si="1"/>
        <v>0.2332155477031802</v>
      </c>
    </row>
    <row r="115" spans="1:4" ht="16" x14ac:dyDescent="0.35">
      <c r="A115" s="8" t="s">
        <v>313</v>
      </c>
      <c r="B115" s="9">
        <v>3.69</v>
      </c>
      <c r="C115" s="9">
        <v>11.04</v>
      </c>
      <c r="D115" s="5">
        <f t="shared" si="1"/>
        <v>0.33423913043478265</v>
      </c>
    </row>
    <row r="116" spans="1:4" ht="16" x14ac:dyDescent="0.35">
      <c r="A116" s="8" t="s">
        <v>414</v>
      </c>
      <c r="B116" s="9">
        <v>2.02</v>
      </c>
      <c r="C116" s="9">
        <v>11.04</v>
      </c>
      <c r="D116" s="5">
        <f t="shared" si="1"/>
        <v>0.18297101449275363</v>
      </c>
    </row>
    <row r="117" spans="1:4" ht="16" x14ac:dyDescent="0.35">
      <c r="A117" s="8" t="s">
        <v>417</v>
      </c>
      <c r="B117" s="9">
        <v>2.2999999999999998</v>
      </c>
      <c r="C117" s="9">
        <v>11.01</v>
      </c>
      <c r="D117" s="5">
        <f t="shared" si="1"/>
        <v>0.20890099909173476</v>
      </c>
    </row>
    <row r="118" spans="1:4" ht="16" x14ac:dyDescent="0.35">
      <c r="A118" s="8" t="s">
        <v>162</v>
      </c>
      <c r="B118" s="9">
        <v>1.55</v>
      </c>
      <c r="C118" s="9">
        <v>11.01</v>
      </c>
      <c r="D118" s="5">
        <f t="shared" si="1"/>
        <v>0.1407811080835604</v>
      </c>
    </row>
    <row r="119" spans="1:4" ht="16" x14ac:dyDescent="0.35">
      <c r="A119" s="13" t="s">
        <v>156</v>
      </c>
      <c r="B119" s="9">
        <v>2.81</v>
      </c>
      <c r="C119" s="9">
        <v>10.97</v>
      </c>
      <c r="D119" s="5">
        <f t="shared" si="1"/>
        <v>0.25615314494074748</v>
      </c>
    </row>
    <row r="120" spans="1:4" ht="16" x14ac:dyDescent="0.35">
      <c r="A120" s="8" t="s">
        <v>485</v>
      </c>
      <c r="B120" s="9">
        <v>1.38</v>
      </c>
      <c r="C120" s="9">
        <v>10.89</v>
      </c>
      <c r="D120" s="5">
        <f t="shared" si="1"/>
        <v>0.12672176308539942</v>
      </c>
    </row>
    <row r="121" spans="1:4" ht="16" x14ac:dyDescent="0.35">
      <c r="A121" s="8" t="s">
        <v>293</v>
      </c>
      <c r="B121" s="9">
        <v>1.54</v>
      </c>
      <c r="C121" s="9">
        <v>10.72</v>
      </c>
      <c r="D121" s="5">
        <f t="shared" si="1"/>
        <v>0.14365671641791045</v>
      </c>
    </row>
    <row r="122" spans="1:4" ht="16" x14ac:dyDescent="0.35">
      <c r="A122" s="8" t="s">
        <v>549</v>
      </c>
      <c r="B122" s="9">
        <v>4.0199999999999996</v>
      </c>
      <c r="C122" s="9">
        <v>10.63</v>
      </c>
      <c r="D122" s="5">
        <f t="shared" si="1"/>
        <v>0.3781749764816556</v>
      </c>
    </row>
    <row r="123" spans="1:4" ht="16" x14ac:dyDescent="0.35">
      <c r="A123" s="8" t="s">
        <v>203</v>
      </c>
      <c r="B123" s="9">
        <v>2.02</v>
      </c>
      <c r="C123" s="9">
        <v>10.63</v>
      </c>
      <c r="D123" s="5">
        <f t="shared" si="1"/>
        <v>0.19002822201317027</v>
      </c>
    </row>
    <row r="124" spans="1:4" ht="16" x14ac:dyDescent="0.35">
      <c r="A124" s="8" t="s">
        <v>83</v>
      </c>
      <c r="B124" s="9">
        <v>2.99</v>
      </c>
      <c r="C124" s="9">
        <v>10.62</v>
      </c>
      <c r="D124" s="5">
        <f t="shared" si="1"/>
        <v>0.28154425612052736</v>
      </c>
    </row>
    <row r="125" spans="1:4" ht="16" x14ac:dyDescent="0.35">
      <c r="A125" s="8" t="s">
        <v>502</v>
      </c>
      <c r="B125" s="9">
        <v>2.34</v>
      </c>
      <c r="C125" s="9">
        <v>10.56</v>
      </c>
      <c r="D125" s="5">
        <f t="shared" si="1"/>
        <v>0.22159090909090906</v>
      </c>
    </row>
    <row r="126" spans="1:4" ht="16" x14ac:dyDescent="0.35">
      <c r="A126" s="8" t="s">
        <v>187</v>
      </c>
      <c r="B126" s="9">
        <v>1.33</v>
      </c>
      <c r="C126" s="9">
        <v>10.41</v>
      </c>
      <c r="D126" s="5">
        <f t="shared" si="1"/>
        <v>0.12776176753121998</v>
      </c>
    </row>
    <row r="127" spans="1:4" ht="16" x14ac:dyDescent="0.35">
      <c r="A127" s="8" t="s">
        <v>76</v>
      </c>
      <c r="B127" s="9">
        <v>1.46</v>
      </c>
      <c r="C127" s="9">
        <v>10.34</v>
      </c>
      <c r="D127" s="5">
        <f t="shared" si="1"/>
        <v>0.14119922630560927</v>
      </c>
    </row>
    <row r="128" spans="1:4" ht="16" x14ac:dyDescent="0.35">
      <c r="A128" s="8" t="s">
        <v>24</v>
      </c>
      <c r="B128" s="10">
        <v>5</v>
      </c>
      <c r="C128" s="9">
        <v>10.27</v>
      </c>
      <c r="D128" s="5">
        <f t="shared" si="1"/>
        <v>0.48685491723466406</v>
      </c>
    </row>
    <row r="129" spans="1:4" ht="16" x14ac:dyDescent="0.35">
      <c r="A129" s="8" t="s">
        <v>260</v>
      </c>
      <c r="B129" s="9">
        <v>2.12</v>
      </c>
      <c r="C129" s="9">
        <v>10.14</v>
      </c>
      <c r="D129" s="5">
        <f t="shared" si="1"/>
        <v>0.20907297830374752</v>
      </c>
    </row>
    <row r="130" spans="1:4" ht="16" x14ac:dyDescent="0.35">
      <c r="A130" s="8" t="s">
        <v>335</v>
      </c>
      <c r="B130" s="9">
        <v>2.59</v>
      </c>
      <c r="C130" s="9">
        <v>9.91</v>
      </c>
      <c r="D130" s="5">
        <f t="shared" ref="D130:D193" si="2">B130/C130</f>
        <v>0.26135216952573159</v>
      </c>
    </row>
    <row r="131" spans="1:4" ht="16" x14ac:dyDescent="0.35">
      <c r="A131" s="8" t="s">
        <v>334</v>
      </c>
      <c r="B131" s="9">
        <v>2.69</v>
      </c>
      <c r="C131" s="9">
        <v>9.8000000000000007</v>
      </c>
      <c r="D131" s="5">
        <f t="shared" si="2"/>
        <v>0.27448979591836731</v>
      </c>
    </row>
    <row r="132" spans="1:4" ht="16" x14ac:dyDescent="0.35">
      <c r="A132" s="8" t="s">
        <v>411</v>
      </c>
      <c r="B132" s="9">
        <v>1.95</v>
      </c>
      <c r="C132" s="9">
        <v>9.7899999999999991</v>
      </c>
      <c r="D132" s="5">
        <f t="shared" si="2"/>
        <v>0.19918283963227784</v>
      </c>
    </row>
    <row r="133" spans="1:4" ht="16" x14ac:dyDescent="0.35">
      <c r="A133" s="8" t="s">
        <v>205</v>
      </c>
      <c r="B133" s="9">
        <v>3.18</v>
      </c>
      <c r="C133" s="9">
        <v>9.75</v>
      </c>
      <c r="D133" s="5">
        <f t="shared" si="2"/>
        <v>0.32615384615384618</v>
      </c>
    </row>
    <row r="134" spans="1:4" ht="16" x14ac:dyDescent="0.35">
      <c r="A134" s="8" t="s">
        <v>332</v>
      </c>
      <c r="B134" s="9">
        <v>2.0499999999999998</v>
      </c>
      <c r="C134" s="9">
        <v>9.74</v>
      </c>
      <c r="D134" s="5">
        <f t="shared" si="2"/>
        <v>0.21047227926078027</v>
      </c>
    </row>
    <row r="135" spans="1:4" ht="16" x14ac:dyDescent="0.35">
      <c r="A135" s="8" t="s">
        <v>194</v>
      </c>
      <c r="B135" s="9">
        <v>1.56</v>
      </c>
      <c r="C135" s="9">
        <v>9.74</v>
      </c>
      <c r="D135" s="5">
        <f t="shared" si="2"/>
        <v>0.16016427104722794</v>
      </c>
    </row>
    <row r="136" spans="1:4" ht="16" x14ac:dyDescent="0.35">
      <c r="A136" s="8" t="s">
        <v>529</v>
      </c>
      <c r="B136" s="9">
        <v>2.31</v>
      </c>
      <c r="C136" s="9">
        <v>9.49</v>
      </c>
      <c r="D136" s="5">
        <f t="shared" si="2"/>
        <v>0.24341412012644889</v>
      </c>
    </row>
    <row r="137" spans="1:4" ht="16" x14ac:dyDescent="0.35">
      <c r="A137" s="8" t="s">
        <v>339</v>
      </c>
      <c r="B137" s="9">
        <v>1.1499999999999999</v>
      </c>
      <c r="C137" s="9">
        <v>9.4700000000000006</v>
      </c>
      <c r="D137" s="5">
        <f t="shared" si="2"/>
        <v>0.12143611404435056</v>
      </c>
    </row>
    <row r="138" spans="1:4" ht="16" x14ac:dyDescent="0.35">
      <c r="A138" s="8" t="s">
        <v>147</v>
      </c>
      <c r="B138" s="9">
        <v>3.25</v>
      </c>
      <c r="C138" s="9">
        <v>9.02</v>
      </c>
      <c r="D138" s="5">
        <f t="shared" si="2"/>
        <v>0.36031042128603108</v>
      </c>
    </row>
    <row r="139" spans="1:4" ht="16" x14ac:dyDescent="0.35">
      <c r="A139" s="8" t="s">
        <v>350</v>
      </c>
      <c r="B139" s="9">
        <v>2.12</v>
      </c>
      <c r="C139" s="9">
        <v>9.01</v>
      </c>
      <c r="D139" s="5">
        <f t="shared" si="2"/>
        <v>0.23529411764705885</v>
      </c>
    </row>
    <row r="140" spans="1:4" ht="16" x14ac:dyDescent="0.35">
      <c r="A140" s="8" t="s">
        <v>527</v>
      </c>
      <c r="B140" s="9">
        <v>1.37</v>
      </c>
      <c r="C140" s="9">
        <v>8.98</v>
      </c>
      <c r="D140" s="5">
        <f t="shared" si="2"/>
        <v>0.15256124721603564</v>
      </c>
    </row>
    <row r="141" spans="1:4" ht="16" x14ac:dyDescent="0.35">
      <c r="A141" s="8" t="s">
        <v>254</v>
      </c>
      <c r="B141" s="9">
        <v>2.13</v>
      </c>
      <c r="C141" s="9">
        <v>8.93</v>
      </c>
      <c r="D141" s="5">
        <f t="shared" si="2"/>
        <v>0.23852183650615902</v>
      </c>
    </row>
    <row r="142" spans="1:4" ht="16" x14ac:dyDescent="0.35">
      <c r="A142" s="8" t="s">
        <v>472</v>
      </c>
      <c r="B142" s="9">
        <v>1.73</v>
      </c>
      <c r="C142" s="9">
        <v>8.83</v>
      </c>
      <c r="D142" s="5">
        <f t="shared" si="2"/>
        <v>0.19592298980747452</v>
      </c>
    </row>
    <row r="143" spans="1:4" ht="16" x14ac:dyDescent="0.35">
      <c r="A143" s="8" t="s">
        <v>240</v>
      </c>
      <c r="B143" s="9">
        <v>1.33</v>
      </c>
      <c r="C143" s="9">
        <v>8.59</v>
      </c>
      <c r="D143" s="5">
        <f t="shared" si="2"/>
        <v>0.15483119906868453</v>
      </c>
    </row>
    <row r="144" spans="1:4" ht="16" x14ac:dyDescent="0.35">
      <c r="A144" s="8" t="s">
        <v>461</v>
      </c>
      <c r="B144" s="9">
        <v>1.63</v>
      </c>
      <c r="C144" s="9">
        <v>8.5399999999999991</v>
      </c>
      <c r="D144" s="5">
        <f t="shared" si="2"/>
        <v>0.1908665105386417</v>
      </c>
    </row>
    <row r="145" spans="1:4" ht="16" x14ac:dyDescent="0.35">
      <c r="A145" s="8" t="s">
        <v>187</v>
      </c>
      <c r="B145" s="9">
        <v>1.98</v>
      </c>
      <c r="C145" s="9">
        <v>8.5299999999999994</v>
      </c>
      <c r="D145" s="5">
        <f t="shared" si="2"/>
        <v>0.2321219226260258</v>
      </c>
    </row>
    <row r="146" spans="1:4" ht="16" x14ac:dyDescent="0.35">
      <c r="A146" s="8" t="s">
        <v>219</v>
      </c>
      <c r="B146" s="10">
        <v>0</v>
      </c>
      <c r="C146" s="9">
        <v>8.5299999999999994</v>
      </c>
      <c r="D146" s="5">
        <f t="shared" si="2"/>
        <v>0</v>
      </c>
    </row>
    <row r="147" spans="1:4" ht="16" x14ac:dyDescent="0.35">
      <c r="A147" s="8" t="s">
        <v>198</v>
      </c>
      <c r="B147" s="9">
        <v>1.62</v>
      </c>
      <c r="C147" s="9">
        <v>8.48</v>
      </c>
      <c r="D147" s="5">
        <f t="shared" si="2"/>
        <v>0.19103773584905662</v>
      </c>
    </row>
    <row r="148" spans="1:4" ht="16" x14ac:dyDescent="0.35">
      <c r="A148" s="8" t="s">
        <v>207</v>
      </c>
      <c r="B148" s="9">
        <v>3.35</v>
      </c>
      <c r="C148" s="9">
        <v>8.42</v>
      </c>
      <c r="D148" s="5">
        <f t="shared" si="2"/>
        <v>0.39786223277909738</v>
      </c>
    </row>
    <row r="149" spans="1:4" ht="16" x14ac:dyDescent="0.35">
      <c r="A149" s="8" t="s">
        <v>80</v>
      </c>
      <c r="B149" s="9">
        <v>1.01</v>
      </c>
      <c r="C149" s="9">
        <v>8.42</v>
      </c>
      <c r="D149" s="5">
        <f t="shared" si="2"/>
        <v>0.11995249406175772</v>
      </c>
    </row>
    <row r="150" spans="1:4" ht="16" x14ac:dyDescent="0.35">
      <c r="A150" s="8" t="s">
        <v>58</v>
      </c>
      <c r="B150" s="9">
        <v>2.29</v>
      </c>
      <c r="C150" s="9">
        <v>8.39</v>
      </c>
      <c r="D150" s="5">
        <f t="shared" si="2"/>
        <v>0.2729439809296782</v>
      </c>
    </row>
    <row r="151" spans="1:4" ht="16" x14ac:dyDescent="0.35">
      <c r="A151" s="8" t="s">
        <v>301</v>
      </c>
      <c r="B151" s="9">
        <v>2.64</v>
      </c>
      <c r="C151" s="9">
        <v>8.3699999999999992</v>
      </c>
      <c r="D151" s="5">
        <f t="shared" si="2"/>
        <v>0.31541218637992835</v>
      </c>
    </row>
    <row r="152" spans="1:4" ht="16" x14ac:dyDescent="0.35">
      <c r="A152" s="8" t="s">
        <v>406</v>
      </c>
      <c r="B152" s="9">
        <v>2.78</v>
      </c>
      <c r="C152" s="9">
        <v>8.2899999999999991</v>
      </c>
      <c r="D152" s="5">
        <f t="shared" si="2"/>
        <v>0.3353437876960193</v>
      </c>
    </row>
    <row r="153" spans="1:4" ht="16" x14ac:dyDescent="0.35">
      <c r="A153" s="8" t="s">
        <v>141</v>
      </c>
      <c r="B153" s="9">
        <v>1.29</v>
      </c>
      <c r="C153" s="9">
        <v>8.23</v>
      </c>
      <c r="D153" s="5">
        <f t="shared" si="2"/>
        <v>0.15674362089914945</v>
      </c>
    </row>
    <row r="154" spans="1:4" ht="16" x14ac:dyDescent="0.35">
      <c r="A154" s="8" t="s">
        <v>13</v>
      </c>
      <c r="B154" s="9">
        <v>2.98</v>
      </c>
      <c r="C154" s="9">
        <v>8.15</v>
      </c>
      <c r="D154" s="5">
        <f t="shared" si="2"/>
        <v>0.3656441717791411</v>
      </c>
    </row>
    <row r="155" spans="1:4" ht="16" x14ac:dyDescent="0.35">
      <c r="A155" s="8" t="s">
        <v>269</v>
      </c>
      <c r="B155" s="9">
        <v>0.85</v>
      </c>
      <c r="C155" s="9">
        <v>8.15</v>
      </c>
      <c r="D155" s="5">
        <f t="shared" si="2"/>
        <v>0.10429447852760736</v>
      </c>
    </row>
    <row r="156" spans="1:4" ht="16" x14ac:dyDescent="0.35">
      <c r="A156" s="8" t="s">
        <v>221</v>
      </c>
      <c r="B156" s="9">
        <v>1.58</v>
      </c>
      <c r="C156" s="9">
        <v>8.07</v>
      </c>
      <c r="D156" s="5">
        <f t="shared" si="2"/>
        <v>0.19578686493184635</v>
      </c>
    </row>
    <row r="157" spans="1:4" ht="16" x14ac:dyDescent="0.35">
      <c r="A157" s="8" t="s">
        <v>63</v>
      </c>
      <c r="B157" s="9">
        <v>2.04</v>
      </c>
      <c r="C157" s="9">
        <v>8.0500000000000007</v>
      </c>
      <c r="D157" s="5">
        <f t="shared" si="2"/>
        <v>0.25341614906832294</v>
      </c>
    </row>
    <row r="158" spans="1:4" ht="16" x14ac:dyDescent="0.35">
      <c r="A158" s="8" t="s">
        <v>219</v>
      </c>
      <c r="B158" s="9">
        <v>0.91</v>
      </c>
      <c r="C158" s="9">
        <v>8.02</v>
      </c>
      <c r="D158" s="5">
        <f t="shared" si="2"/>
        <v>0.11346633416458854</v>
      </c>
    </row>
    <row r="159" spans="1:4" ht="16" x14ac:dyDescent="0.35">
      <c r="A159" s="8" t="s">
        <v>529</v>
      </c>
      <c r="B159" s="9">
        <v>1.28</v>
      </c>
      <c r="C159" s="9">
        <v>7.9</v>
      </c>
      <c r="D159" s="5">
        <f t="shared" si="2"/>
        <v>0.16202531645569621</v>
      </c>
    </row>
    <row r="160" spans="1:4" ht="16" x14ac:dyDescent="0.35">
      <c r="A160" s="8" t="s">
        <v>79</v>
      </c>
      <c r="B160" s="9">
        <v>1.48</v>
      </c>
      <c r="C160" s="9">
        <v>7.89</v>
      </c>
      <c r="D160" s="5">
        <f t="shared" si="2"/>
        <v>0.18757921419518378</v>
      </c>
    </row>
    <row r="161" spans="1:4" ht="16" x14ac:dyDescent="0.35">
      <c r="A161" s="8" t="s">
        <v>385</v>
      </c>
      <c r="B161" s="9">
        <v>1.35</v>
      </c>
      <c r="C161" s="9">
        <v>7.88</v>
      </c>
      <c r="D161" s="5">
        <f t="shared" si="2"/>
        <v>0.17131979695431473</v>
      </c>
    </row>
    <row r="162" spans="1:4" ht="16" x14ac:dyDescent="0.35">
      <c r="A162" s="8" t="s">
        <v>518</v>
      </c>
      <c r="B162" s="9">
        <v>0.81</v>
      </c>
      <c r="C162" s="9">
        <v>7.79</v>
      </c>
      <c r="D162" s="5">
        <f t="shared" si="2"/>
        <v>0.10397946084724005</v>
      </c>
    </row>
    <row r="163" spans="1:4" ht="16" x14ac:dyDescent="0.35">
      <c r="A163" s="8" t="s">
        <v>311</v>
      </c>
      <c r="B163" s="9">
        <v>2.58</v>
      </c>
      <c r="C163" s="9">
        <v>7.77</v>
      </c>
      <c r="D163" s="5">
        <f t="shared" si="2"/>
        <v>0.33204633204633205</v>
      </c>
    </row>
    <row r="164" spans="1:4" ht="16" x14ac:dyDescent="0.35">
      <c r="A164" s="8" t="s">
        <v>324</v>
      </c>
      <c r="B164" s="9">
        <v>0.66</v>
      </c>
      <c r="C164" s="9">
        <v>7.73</v>
      </c>
      <c r="D164" s="5">
        <f t="shared" si="2"/>
        <v>8.538163001293661E-2</v>
      </c>
    </row>
    <row r="165" spans="1:4" ht="16" x14ac:dyDescent="0.35">
      <c r="A165" s="8" t="s">
        <v>483</v>
      </c>
      <c r="B165" s="9">
        <v>2.5499999999999998</v>
      </c>
      <c r="C165" s="9">
        <v>7.7</v>
      </c>
      <c r="D165" s="5">
        <f t="shared" si="2"/>
        <v>0.33116883116883111</v>
      </c>
    </row>
    <row r="166" spans="1:4" ht="16" x14ac:dyDescent="0.35">
      <c r="A166" s="8" t="s">
        <v>41</v>
      </c>
      <c r="B166" s="9">
        <v>1.34</v>
      </c>
      <c r="C166" s="9">
        <v>7.66</v>
      </c>
      <c r="D166" s="5">
        <f t="shared" si="2"/>
        <v>0.17493472584856398</v>
      </c>
    </row>
    <row r="167" spans="1:4" ht="16" x14ac:dyDescent="0.35">
      <c r="A167" s="8" t="s">
        <v>144</v>
      </c>
      <c r="B167" s="9">
        <v>0.93</v>
      </c>
      <c r="C167" s="9">
        <v>7.45</v>
      </c>
      <c r="D167" s="5">
        <f t="shared" si="2"/>
        <v>0.12483221476510067</v>
      </c>
    </row>
    <row r="168" spans="1:4" ht="16" x14ac:dyDescent="0.35">
      <c r="A168" s="8" t="s">
        <v>424</v>
      </c>
      <c r="B168" s="9">
        <v>1.87</v>
      </c>
      <c r="C168" s="9">
        <v>7.43</v>
      </c>
      <c r="D168" s="5">
        <f t="shared" si="2"/>
        <v>0.25168236877523553</v>
      </c>
    </row>
    <row r="169" spans="1:4" ht="16" x14ac:dyDescent="0.35">
      <c r="A169" s="8" t="s">
        <v>48</v>
      </c>
      <c r="B169" s="9">
        <v>2.08</v>
      </c>
      <c r="C169" s="9">
        <v>7.37</v>
      </c>
      <c r="D169" s="5">
        <f t="shared" si="2"/>
        <v>0.28222523744911804</v>
      </c>
    </row>
    <row r="170" spans="1:4" ht="16" x14ac:dyDescent="0.35">
      <c r="A170" s="8" t="s">
        <v>397</v>
      </c>
      <c r="B170" s="9">
        <v>1.24</v>
      </c>
      <c r="C170" s="9">
        <v>7.29</v>
      </c>
      <c r="D170" s="5">
        <f t="shared" si="2"/>
        <v>0.17009602194787379</v>
      </c>
    </row>
    <row r="171" spans="1:4" ht="16" x14ac:dyDescent="0.35">
      <c r="A171" s="8" t="s">
        <v>154</v>
      </c>
      <c r="B171" s="9">
        <v>2.09</v>
      </c>
      <c r="C171" s="9">
        <v>7.27</v>
      </c>
      <c r="D171" s="5">
        <f t="shared" si="2"/>
        <v>0.28748280605226961</v>
      </c>
    </row>
    <row r="172" spans="1:4" ht="16" x14ac:dyDescent="0.35">
      <c r="A172" s="8" t="s">
        <v>345</v>
      </c>
      <c r="B172" s="9">
        <v>1.54</v>
      </c>
      <c r="C172" s="9">
        <v>7.25</v>
      </c>
      <c r="D172" s="5">
        <f t="shared" si="2"/>
        <v>0.21241379310344827</v>
      </c>
    </row>
    <row r="173" spans="1:4" ht="16" x14ac:dyDescent="0.35">
      <c r="A173" s="8" t="s">
        <v>366</v>
      </c>
      <c r="B173" s="9">
        <v>0.84</v>
      </c>
      <c r="C173" s="9">
        <v>7.15</v>
      </c>
      <c r="D173" s="5">
        <f t="shared" si="2"/>
        <v>0.11748251748251748</v>
      </c>
    </row>
    <row r="174" spans="1:4" ht="16" x14ac:dyDescent="0.35">
      <c r="A174" s="8" t="s">
        <v>356</v>
      </c>
      <c r="B174" s="9">
        <v>2.36</v>
      </c>
      <c r="C174" s="9">
        <v>7.14</v>
      </c>
      <c r="D174" s="5">
        <f t="shared" si="2"/>
        <v>0.33053221288515405</v>
      </c>
    </row>
    <row r="175" spans="1:4" ht="16" x14ac:dyDescent="0.35">
      <c r="A175" s="8" t="s">
        <v>124</v>
      </c>
      <c r="B175" s="9">
        <v>2.15</v>
      </c>
      <c r="C175" s="9">
        <v>7.13</v>
      </c>
      <c r="D175" s="5">
        <f t="shared" si="2"/>
        <v>0.30154277699859749</v>
      </c>
    </row>
    <row r="176" spans="1:4" ht="16" x14ac:dyDescent="0.35">
      <c r="A176" s="8" t="s">
        <v>73</v>
      </c>
      <c r="B176" s="9">
        <v>1.4</v>
      </c>
      <c r="C176" s="9">
        <v>7.1</v>
      </c>
      <c r="D176" s="5">
        <f t="shared" si="2"/>
        <v>0.19718309859154928</v>
      </c>
    </row>
    <row r="177" spans="1:4" ht="16" x14ac:dyDescent="0.35">
      <c r="A177" s="8" t="s">
        <v>218</v>
      </c>
      <c r="B177" s="9">
        <v>5.0199999999999996</v>
      </c>
      <c r="C177" s="9">
        <v>7.09</v>
      </c>
      <c r="D177" s="5">
        <f t="shared" si="2"/>
        <v>0.7080394922425951</v>
      </c>
    </row>
    <row r="178" spans="1:4" ht="16" x14ac:dyDescent="0.35">
      <c r="A178" s="8" t="s">
        <v>29</v>
      </c>
      <c r="B178" s="9">
        <v>1.55</v>
      </c>
      <c r="C178" s="9">
        <v>7.09</v>
      </c>
      <c r="D178" s="5">
        <f t="shared" si="2"/>
        <v>0.21861777150916786</v>
      </c>
    </row>
    <row r="179" spans="1:4" ht="16" x14ac:dyDescent="0.35">
      <c r="A179" s="8" t="s">
        <v>496</v>
      </c>
      <c r="B179" s="9">
        <v>2.2000000000000002</v>
      </c>
      <c r="C179" s="9">
        <v>7.08</v>
      </c>
      <c r="D179" s="5">
        <f t="shared" si="2"/>
        <v>0.31073446327683618</v>
      </c>
    </row>
    <row r="180" spans="1:4" ht="16" x14ac:dyDescent="0.35">
      <c r="A180" s="8" t="s">
        <v>366</v>
      </c>
      <c r="B180" s="9">
        <v>2.0299999999999998</v>
      </c>
      <c r="C180" s="9">
        <v>7.05</v>
      </c>
      <c r="D180" s="5">
        <f t="shared" si="2"/>
        <v>0.28794326241134749</v>
      </c>
    </row>
    <row r="181" spans="1:4" ht="16" x14ac:dyDescent="0.35">
      <c r="A181" s="8" t="s">
        <v>332</v>
      </c>
      <c r="B181" s="9">
        <v>5.03</v>
      </c>
      <c r="C181" s="9">
        <v>6.94</v>
      </c>
      <c r="D181" s="5">
        <f t="shared" si="2"/>
        <v>0.72478386167146969</v>
      </c>
    </row>
    <row r="182" spans="1:4" ht="16" x14ac:dyDescent="0.35">
      <c r="A182" s="8" t="s">
        <v>304</v>
      </c>
      <c r="B182" s="9">
        <v>1.33</v>
      </c>
      <c r="C182" s="9">
        <v>6.92</v>
      </c>
      <c r="D182" s="5">
        <f t="shared" si="2"/>
        <v>0.19219653179190752</v>
      </c>
    </row>
    <row r="183" spans="1:4" ht="16" x14ac:dyDescent="0.35">
      <c r="A183" s="8" t="s">
        <v>518</v>
      </c>
      <c r="B183" s="9">
        <v>2.1800000000000002</v>
      </c>
      <c r="C183" s="9">
        <v>6.8</v>
      </c>
      <c r="D183" s="5">
        <f t="shared" si="2"/>
        <v>0.32058823529411767</v>
      </c>
    </row>
    <row r="184" spans="1:4" ht="16" x14ac:dyDescent="0.35">
      <c r="A184" s="8" t="s">
        <v>292</v>
      </c>
      <c r="B184" s="9">
        <v>1.92</v>
      </c>
      <c r="C184" s="9">
        <v>6.77</v>
      </c>
      <c r="D184" s="5">
        <f t="shared" si="2"/>
        <v>0.28360413589364847</v>
      </c>
    </row>
    <row r="185" spans="1:4" ht="16" x14ac:dyDescent="0.35">
      <c r="A185" s="8" t="s">
        <v>466</v>
      </c>
      <c r="B185" s="9">
        <v>0.97</v>
      </c>
      <c r="C185" s="9">
        <v>6.73</v>
      </c>
      <c r="D185" s="5">
        <f t="shared" si="2"/>
        <v>0.14413075780089152</v>
      </c>
    </row>
    <row r="186" spans="1:4" ht="16" x14ac:dyDescent="0.35">
      <c r="A186" s="8" t="s">
        <v>522</v>
      </c>
      <c r="B186" s="9">
        <v>0.66</v>
      </c>
      <c r="C186" s="9">
        <v>6.72</v>
      </c>
      <c r="D186" s="5">
        <f t="shared" si="2"/>
        <v>9.8214285714285726E-2</v>
      </c>
    </row>
    <row r="187" spans="1:4" ht="16" x14ac:dyDescent="0.35">
      <c r="A187" s="8" t="s">
        <v>34</v>
      </c>
      <c r="B187" s="9">
        <v>1.07</v>
      </c>
      <c r="C187" s="9">
        <v>6.7</v>
      </c>
      <c r="D187" s="5">
        <f t="shared" si="2"/>
        <v>0.15970149253731344</v>
      </c>
    </row>
    <row r="188" spans="1:4" ht="16" x14ac:dyDescent="0.35">
      <c r="A188" s="8" t="s">
        <v>398</v>
      </c>
      <c r="B188" s="10">
        <v>1</v>
      </c>
      <c r="C188" s="9">
        <v>6.67</v>
      </c>
      <c r="D188" s="5">
        <f t="shared" si="2"/>
        <v>0.14992503748125938</v>
      </c>
    </row>
    <row r="189" spans="1:4" ht="16" x14ac:dyDescent="0.35">
      <c r="A189" s="8" t="s">
        <v>412</v>
      </c>
      <c r="B189" s="9">
        <v>0.69</v>
      </c>
      <c r="C189" s="9">
        <v>6.64</v>
      </c>
      <c r="D189" s="5">
        <f t="shared" si="2"/>
        <v>0.10391566265060241</v>
      </c>
    </row>
    <row r="190" spans="1:4" ht="16" x14ac:dyDescent="0.35">
      <c r="A190" s="8" t="s">
        <v>357</v>
      </c>
      <c r="B190" s="9">
        <v>3.05</v>
      </c>
      <c r="C190" s="9">
        <v>6.58</v>
      </c>
      <c r="D190" s="5">
        <f t="shared" si="2"/>
        <v>0.46352583586626139</v>
      </c>
    </row>
    <row r="191" spans="1:4" ht="16" x14ac:dyDescent="0.35">
      <c r="A191" s="8" t="s">
        <v>65</v>
      </c>
      <c r="B191" s="9">
        <v>2.4300000000000002</v>
      </c>
      <c r="C191" s="9">
        <v>6.51</v>
      </c>
      <c r="D191" s="5">
        <f t="shared" si="2"/>
        <v>0.37327188940092171</v>
      </c>
    </row>
    <row r="192" spans="1:4" ht="16" x14ac:dyDescent="0.35">
      <c r="A192" s="8" t="s">
        <v>270</v>
      </c>
      <c r="B192" s="9">
        <v>1.22</v>
      </c>
      <c r="C192" s="9">
        <v>6.49</v>
      </c>
      <c r="D192" s="5">
        <f t="shared" si="2"/>
        <v>0.1879815100154083</v>
      </c>
    </row>
    <row r="193" spans="1:4" ht="16" x14ac:dyDescent="0.35">
      <c r="A193" s="8" t="s">
        <v>27</v>
      </c>
      <c r="B193" s="9">
        <v>0.59</v>
      </c>
      <c r="C193" s="9">
        <v>6.45</v>
      </c>
      <c r="D193" s="5">
        <f t="shared" si="2"/>
        <v>9.1472868217054262E-2</v>
      </c>
    </row>
    <row r="194" spans="1:4" ht="16" x14ac:dyDescent="0.35">
      <c r="A194" s="8" t="s">
        <v>195</v>
      </c>
      <c r="B194" s="9">
        <v>1.37</v>
      </c>
      <c r="C194" s="9">
        <v>6.43</v>
      </c>
      <c r="D194" s="5">
        <f t="shared" ref="D194:D257" si="3">B194/C194</f>
        <v>0.21306376360808713</v>
      </c>
    </row>
    <row r="195" spans="1:4" ht="16" x14ac:dyDescent="0.35">
      <c r="A195" s="8" t="s">
        <v>536</v>
      </c>
      <c r="B195" s="9">
        <v>1.49</v>
      </c>
      <c r="C195" s="9">
        <v>6.42</v>
      </c>
      <c r="D195" s="5">
        <f t="shared" si="3"/>
        <v>0.23208722741433022</v>
      </c>
    </row>
    <row r="196" spans="1:4" ht="16" x14ac:dyDescent="0.35">
      <c r="A196" s="8" t="s">
        <v>71</v>
      </c>
      <c r="B196" s="10">
        <v>0</v>
      </c>
      <c r="C196" s="9">
        <v>6.42</v>
      </c>
      <c r="D196" s="5">
        <f t="shared" si="3"/>
        <v>0</v>
      </c>
    </row>
    <row r="197" spans="1:4" ht="16" x14ac:dyDescent="0.35">
      <c r="A197" s="8" t="s">
        <v>444</v>
      </c>
      <c r="B197" s="9">
        <v>0.99</v>
      </c>
      <c r="C197" s="9">
        <v>6.37</v>
      </c>
      <c r="D197" s="5">
        <f t="shared" si="3"/>
        <v>0.15541601255886969</v>
      </c>
    </row>
    <row r="198" spans="1:4" ht="16" x14ac:dyDescent="0.35">
      <c r="A198" s="8" t="s">
        <v>426</v>
      </c>
      <c r="B198" s="9">
        <v>0.51</v>
      </c>
      <c r="C198" s="9">
        <v>6.36</v>
      </c>
      <c r="D198" s="5">
        <f t="shared" si="3"/>
        <v>8.0188679245283015E-2</v>
      </c>
    </row>
    <row r="199" spans="1:4" ht="16" x14ac:dyDescent="0.35">
      <c r="A199" s="8" t="s">
        <v>324</v>
      </c>
      <c r="B199" s="9">
        <v>1.34</v>
      </c>
      <c r="C199" s="9">
        <v>6.26</v>
      </c>
      <c r="D199" s="5">
        <f t="shared" si="3"/>
        <v>0.21405750798722048</v>
      </c>
    </row>
    <row r="200" spans="1:4" ht="16" x14ac:dyDescent="0.35">
      <c r="A200" s="8" t="s">
        <v>197</v>
      </c>
      <c r="B200" s="9">
        <v>1.25</v>
      </c>
      <c r="C200" s="9">
        <v>6.26</v>
      </c>
      <c r="D200" s="5">
        <f t="shared" si="3"/>
        <v>0.19968051118210864</v>
      </c>
    </row>
    <row r="201" spans="1:4" ht="16" x14ac:dyDescent="0.35">
      <c r="A201" s="8" t="s">
        <v>42</v>
      </c>
      <c r="B201" s="9">
        <v>1.27</v>
      </c>
      <c r="C201" s="9">
        <v>6.25</v>
      </c>
      <c r="D201" s="5">
        <f t="shared" si="3"/>
        <v>0.20319999999999999</v>
      </c>
    </row>
    <row r="202" spans="1:4" ht="16" x14ac:dyDescent="0.35">
      <c r="A202" s="8" t="s">
        <v>447</v>
      </c>
      <c r="B202" s="9">
        <v>2.38</v>
      </c>
      <c r="C202" s="9">
        <v>6.22</v>
      </c>
      <c r="D202" s="5">
        <f t="shared" si="3"/>
        <v>0.38263665594855306</v>
      </c>
    </row>
    <row r="203" spans="1:4" ht="16" x14ac:dyDescent="0.35">
      <c r="A203" s="8" t="s">
        <v>122</v>
      </c>
      <c r="B203" s="9">
        <v>0.64</v>
      </c>
      <c r="C203" s="9">
        <v>6.22</v>
      </c>
      <c r="D203" s="5">
        <f t="shared" si="3"/>
        <v>0.10289389067524117</v>
      </c>
    </row>
    <row r="204" spans="1:4" ht="16" x14ac:dyDescent="0.35">
      <c r="A204" s="8" t="s">
        <v>304</v>
      </c>
      <c r="B204" s="9">
        <v>0.22</v>
      </c>
      <c r="C204" s="9">
        <v>6.22</v>
      </c>
      <c r="D204" s="5">
        <f t="shared" si="3"/>
        <v>3.5369774919614148E-2</v>
      </c>
    </row>
    <row r="205" spans="1:4" ht="16" x14ac:dyDescent="0.35">
      <c r="A205" s="8" t="s">
        <v>289</v>
      </c>
      <c r="B205" s="9">
        <v>3.05</v>
      </c>
      <c r="C205" s="9">
        <v>6.18</v>
      </c>
      <c r="D205" s="5">
        <f t="shared" si="3"/>
        <v>0.49352750809061491</v>
      </c>
    </row>
    <row r="206" spans="1:4" ht="16" x14ac:dyDescent="0.35">
      <c r="A206" s="8" t="s">
        <v>42</v>
      </c>
      <c r="B206" s="10">
        <v>0</v>
      </c>
      <c r="C206" s="9">
        <v>6.11</v>
      </c>
      <c r="D206" s="5">
        <f t="shared" si="3"/>
        <v>0</v>
      </c>
    </row>
    <row r="207" spans="1:4" ht="16" x14ac:dyDescent="0.35">
      <c r="A207" s="8" t="s">
        <v>126</v>
      </c>
      <c r="B207" s="9">
        <v>1.95</v>
      </c>
      <c r="C207" s="9">
        <v>6.1</v>
      </c>
      <c r="D207" s="5">
        <f t="shared" si="3"/>
        <v>0.31967213114754101</v>
      </c>
    </row>
    <row r="208" spans="1:4" ht="16" x14ac:dyDescent="0.35">
      <c r="A208" s="8" t="s">
        <v>440</v>
      </c>
      <c r="B208" s="9">
        <v>1.79</v>
      </c>
      <c r="C208" s="9">
        <v>6.07</v>
      </c>
      <c r="D208" s="5">
        <f t="shared" si="3"/>
        <v>0.29489291598023065</v>
      </c>
    </row>
    <row r="209" spans="1:4" ht="16" x14ac:dyDescent="0.35">
      <c r="A209" s="8" t="s">
        <v>194</v>
      </c>
      <c r="B209" s="9">
        <v>1.54</v>
      </c>
      <c r="C209" s="9">
        <v>6.06</v>
      </c>
      <c r="D209" s="5">
        <f t="shared" si="3"/>
        <v>0.25412541254125415</v>
      </c>
    </row>
    <row r="210" spans="1:4" ht="16" x14ac:dyDescent="0.35">
      <c r="A210" s="8" t="s">
        <v>65</v>
      </c>
      <c r="B210" s="9">
        <v>1.25</v>
      </c>
      <c r="C210" s="9">
        <v>6.05</v>
      </c>
      <c r="D210" s="5">
        <f t="shared" si="3"/>
        <v>0.20661157024793389</v>
      </c>
    </row>
    <row r="211" spans="1:4" ht="16" x14ac:dyDescent="0.35">
      <c r="A211" s="8" t="s">
        <v>104</v>
      </c>
      <c r="B211" s="9">
        <v>0.85</v>
      </c>
      <c r="C211" s="9">
        <v>6.01</v>
      </c>
      <c r="D211" s="5">
        <f t="shared" si="3"/>
        <v>0.14143094841930118</v>
      </c>
    </row>
    <row r="212" spans="1:4" ht="16" x14ac:dyDescent="0.35">
      <c r="A212" s="8" t="s">
        <v>199</v>
      </c>
      <c r="B212" s="9">
        <v>1.5</v>
      </c>
      <c r="C212" s="9">
        <v>5.97</v>
      </c>
      <c r="D212" s="5">
        <f t="shared" si="3"/>
        <v>0.25125628140703521</v>
      </c>
    </row>
    <row r="213" spans="1:4" ht="16" x14ac:dyDescent="0.35">
      <c r="A213" s="8" t="s">
        <v>11</v>
      </c>
      <c r="B213" s="9">
        <v>1.68</v>
      </c>
      <c r="C213" s="9">
        <v>5.93</v>
      </c>
      <c r="D213" s="5">
        <f t="shared" si="3"/>
        <v>0.28330522765598654</v>
      </c>
    </row>
    <row r="214" spans="1:4" ht="16" x14ac:dyDescent="0.35">
      <c r="A214" s="8" t="s">
        <v>501</v>
      </c>
      <c r="B214" s="9">
        <v>1.47</v>
      </c>
      <c r="C214" s="9">
        <v>5.93</v>
      </c>
      <c r="D214" s="5">
        <f t="shared" si="3"/>
        <v>0.2478920741989882</v>
      </c>
    </row>
    <row r="215" spans="1:4" ht="16" x14ac:dyDescent="0.35">
      <c r="A215" s="8" t="s">
        <v>212</v>
      </c>
      <c r="B215" s="9">
        <v>1.02</v>
      </c>
      <c r="C215" s="9">
        <v>5.93</v>
      </c>
      <c r="D215" s="5">
        <f t="shared" si="3"/>
        <v>0.17200674536256325</v>
      </c>
    </row>
    <row r="216" spans="1:4" ht="16" x14ac:dyDescent="0.35">
      <c r="A216" s="8" t="s">
        <v>93</v>
      </c>
      <c r="B216" s="9">
        <v>1.94</v>
      </c>
      <c r="C216" s="9">
        <v>5.91</v>
      </c>
      <c r="D216" s="5">
        <f t="shared" si="3"/>
        <v>0.3282571912013536</v>
      </c>
    </row>
    <row r="217" spans="1:4" ht="16" x14ac:dyDescent="0.35">
      <c r="A217" s="8" t="s">
        <v>511</v>
      </c>
      <c r="B217" s="9">
        <v>1.1299999999999999</v>
      </c>
      <c r="C217" s="9">
        <v>5.9</v>
      </c>
      <c r="D217" s="5">
        <f t="shared" si="3"/>
        <v>0.19152542372881354</v>
      </c>
    </row>
    <row r="218" spans="1:4" ht="16" x14ac:dyDescent="0.35">
      <c r="A218" s="8" t="s">
        <v>221</v>
      </c>
      <c r="B218" s="10">
        <v>0</v>
      </c>
      <c r="C218" s="9">
        <v>5.88</v>
      </c>
      <c r="D218" s="5">
        <f t="shared" si="3"/>
        <v>0</v>
      </c>
    </row>
    <row r="219" spans="1:4" ht="16" x14ac:dyDescent="0.35">
      <c r="A219" s="8" t="s">
        <v>297</v>
      </c>
      <c r="B219" s="9">
        <v>1.59</v>
      </c>
      <c r="C219" s="9">
        <v>5.87</v>
      </c>
      <c r="D219" s="5">
        <f t="shared" si="3"/>
        <v>0.27086882453151617</v>
      </c>
    </row>
    <row r="220" spans="1:4" ht="16" x14ac:dyDescent="0.35">
      <c r="A220" s="8" t="s">
        <v>371</v>
      </c>
      <c r="B220" s="9">
        <v>2.85</v>
      </c>
      <c r="C220" s="9">
        <v>5.86</v>
      </c>
      <c r="D220" s="5">
        <f t="shared" si="3"/>
        <v>0.48634812286689416</v>
      </c>
    </row>
    <row r="221" spans="1:4" ht="16" x14ac:dyDescent="0.35">
      <c r="A221" s="8" t="s">
        <v>16</v>
      </c>
      <c r="B221" s="9">
        <v>1.73</v>
      </c>
      <c r="C221" s="9">
        <v>5.85</v>
      </c>
      <c r="D221" s="5">
        <f t="shared" si="3"/>
        <v>0.29572649572649573</v>
      </c>
    </row>
    <row r="222" spans="1:4" ht="16" x14ac:dyDescent="0.35">
      <c r="A222" s="8" t="s">
        <v>500</v>
      </c>
      <c r="B222" s="9">
        <v>0.99</v>
      </c>
      <c r="C222" s="9">
        <v>5.85</v>
      </c>
      <c r="D222" s="5">
        <f t="shared" si="3"/>
        <v>0.16923076923076924</v>
      </c>
    </row>
    <row r="223" spans="1:4" ht="16" x14ac:dyDescent="0.35">
      <c r="A223" s="8" t="s">
        <v>44</v>
      </c>
      <c r="B223" s="9">
        <v>0.68</v>
      </c>
      <c r="C223" s="9">
        <v>5.84</v>
      </c>
      <c r="D223" s="5">
        <f t="shared" si="3"/>
        <v>0.11643835616438357</v>
      </c>
    </row>
    <row r="224" spans="1:4" ht="16" x14ac:dyDescent="0.35">
      <c r="A224" s="8" t="s">
        <v>284</v>
      </c>
      <c r="B224" s="9">
        <v>0.83</v>
      </c>
      <c r="C224" s="9">
        <v>5.77</v>
      </c>
      <c r="D224" s="5">
        <f t="shared" si="3"/>
        <v>0.14384748700173311</v>
      </c>
    </row>
    <row r="225" spans="1:4" ht="16" x14ac:dyDescent="0.35">
      <c r="A225" s="8" t="s">
        <v>543</v>
      </c>
      <c r="B225" s="9">
        <v>0.28000000000000003</v>
      </c>
      <c r="C225" s="9">
        <v>5.72</v>
      </c>
      <c r="D225" s="5">
        <f t="shared" si="3"/>
        <v>4.8951048951048959E-2</v>
      </c>
    </row>
    <row r="226" spans="1:4" ht="16" x14ac:dyDescent="0.35">
      <c r="A226" s="8" t="s">
        <v>143</v>
      </c>
      <c r="B226" s="9">
        <v>1.65</v>
      </c>
      <c r="C226" s="9">
        <v>5.7</v>
      </c>
      <c r="D226" s="5">
        <f t="shared" si="3"/>
        <v>0.28947368421052627</v>
      </c>
    </row>
    <row r="227" spans="1:4" ht="16" x14ac:dyDescent="0.35">
      <c r="A227" s="8" t="s">
        <v>447</v>
      </c>
      <c r="B227" s="9">
        <v>4.7699999999999996</v>
      </c>
      <c r="C227" s="9">
        <v>5.64</v>
      </c>
      <c r="D227" s="5">
        <f t="shared" si="3"/>
        <v>0.8457446808510638</v>
      </c>
    </row>
    <row r="228" spans="1:4" ht="16" x14ac:dyDescent="0.35">
      <c r="A228" s="8" t="s">
        <v>216</v>
      </c>
      <c r="B228" s="9">
        <v>1.1299999999999999</v>
      </c>
      <c r="C228" s="9">
        <v>5.64</v>
      </c>
      <c r="D228" s="5">
        <f t="shared" si="3"/>
        <v>0.200354609929078</v>
      </c>
    </row>
    <row r="229" spans="1:4" ht="16" x14ac:dyDescent="0.35">
      <c r="A229" s="8" t="s">
        <v>3</v>
      </c>
      <c r="B229" s="9">
        <v>1.25</v>
      </c>
      <c r="C229" s="9">
        <v>5.63</v>
      </c>
      <c r="D229" s="5">
        <f t="shared" si="3"/>
        <v>0.22202486678507993</v>
      </c>
    </row>
    <row r="230" spans="1:4" ht="16" x14ac:dyDescent="0.35">
      <c r="A230" s="8" t="s">
        <v>181</v>
      </c>
      <c r="B230" s="9">
        <v>0.99</v>
      </c>
      <c r="C230" s="9">
        <v>5.62</v>
      </c>
      <c r="D230" s="5">
        <f t="shared" si="3"/>
        <v>0.17615658362989323</v>
      </c>
    </row>
    <row r="231" spans="1:4" ht="16" x14ac:dyDescent="0.35">
      <c r="A231" s="8" t="s">
        <v>477</v>
      </c>
      <c r="B231" s="9">
        <v>1.35</v>
      </c>
      <c r="C231" s="9">
        <v>5.61</v>
      </c>
      <c r="D231" s="5">
        <f t="shared" si="3"/>
        <v>0.24064171122994651</v>
      </c>
    </row>
    <row r="232" spans="1:4" ht="16" x14ac:dyDescent="0.35">
      <c r="A232" s="8" t="s">
        <v>317</v>
      </c>
      <c r="B232" s="9">
        <v>0.83</v>
      </c>
      <c r="C232" s="9">
        <v>5.61</v>
      </c>
      <c r="D232" s="5">
        <f t="shared" si="3"/>
        <v>0.14795008912655969</v>
      </c>
    </row>
    <row r="233" spans="1:4" ht="16" x14ac:dyDescent="0.35">
      <c r="A233" s="8" t="s">
        <v>60</v>
      </c>
      <c r="B233" s="9">
        <v>1.71</v>
      </c>
      <c r="C233" s="9">
        <v>5.6</v>
      </c>
      <c r="D233" s="5">
        <f t="shared" si="3"/>
        <v>0.30535714285714288</v>
      </c>
    </row>
    <row r="234" spans="1:4" ht="16" x14ac:dyDescent="0.35">
      <c r="A234" s="8" t="s">
        <v>240</v>
      </c>
      <c r="B234" s="9">
        <v>2.4</v>
      </c>
      <c r="C234" s="9">
        <v>5.58</v>
      </c>
      <c r="D234" s="5">
        <f t="shared" si="3"/>
        <v>0.43010752688172038</v>
      </c>
    </row>
    <row r="235" spans="1:4" ht="16" x14ac:dyDescent="0.35">
      <c r="A235" s="8" t="s">
        <v>8</v>
      </c>
      <c r="B235" s="9">
        <v>1.43</v>
      </c>
      <c r="C235" s="9">
        <v>5.56</v>
      </c>
      <c r="D235" s="5">
        <f t="shared" si="3"/>
        <v>0.25719424460431656</v>
      </c>
    </row>
    <row r="236" spans="1:4" ht="16" x14ac:dyDescent="0.35">
      <c r="A236" s="8" t="s">
        <v>360</v>
      </c>
      <c r="B236" s="9">
        <v>4.16</v>
      </c>
      <c r="C236" s="9">
        <v>5.54</v>
      </c>
      <c r="D236" s="5">
        <f t="shared" si="3"/>
        <v>0.75090252707581229</v>
      </c>
    </row>
    <row r="237" spans="1:4" ht="16" x14ac:dyDescent="0.35">
      <c r="A237" s="8" t="s">
        <v>438</v>
      </c>
      <c r="B237" s="9">
        <v>1.25</v>
      </c>
      <c r="C237" s="9">
        <v>5.54</v>
      </c>
      <c r="D237" s="5">
        <f t="shared" si="3"/>
        <v>0.22563176895306858</v>
      </c>
    </row>
    <row r="238" spans="1:4" ht="16" x14ac:dyDescent="0.35">
      <c r="A238" s="8" t="s">
        <v>284</v>
      </c>
      <c r="B238" s="9">
        <v>0.16</v>
      </c>
      <c r="C238" s="9">
        <v>5.51</v>
      </c>
      <c r="D238" s="5">
        <f t="shared" si="3"/>
        <v>2.9038112522686028E-2</v>
      </c>
    </row>
    <row r="239" spans="1:4" ht="16" x14ac:dyDescent="0.35">
      <c r="A239" s="8" t="s">
        <v>94</v>
      </c>
      <c r="B239" s="9">
        <v>1.21</v>
      </c>
      <c r="C239" s="9">
        <v>5.5</v>
      </c>
      <c r="D239" s="5">
        <f t="shared" si="3"/>
        <v>0.22</v>
      </c>
    </row>
    <row r="240" spans="1:4" ht="16" x14ac:dyDescent="0.35">
      <c r="A240" s="8" t="s">
        <v>204</v>
      </c>
      <c r="B240" s="10">
        <v>0</v>
      </c>
      <c r="C240" s="9">
        <v>5.5</v>
      </c>
      <c r="D240" s="5">
        <f t="shared" si="3"/>
        <v>0</v>
      </c>
    </row>
    <row r="241" spans="1:4" ht="16" x14ac:dyDescent="0.35">
      <c r="A241" s="8" t="s">
        <v>108</v>
      </c>
      <c r="B241" s="9">
        <v>0.86</v>
      </c>
      <c r="C241" s="9">
        <v>5.47</v>
      </c>
      <c r="D241" s="5">
        <f t="shared" si="3"/>
        <v>0.15722120658135283</v>
      </c>
    </row>
    <row r="242" spans="1:4" ht="16" x14ac:dyDescent="0.35">
      <c r="A242" s="8" t="s">
        <v>397</v>
      </c>
      <c r="B242" s="10">
        <v>0</v>
      </c>
      <c r="C242" s="9">
        <v>5.42</v>
      </c>
      <c r="D242" s="5">
        <f t="shared" si="3"/>
        <v>0</v>
      </c>
    </row>
    <row r="243" spans="1:4" ht="16" x14ac:dyDescent="0.35">
      <c r="A243" s="8" t="s">
        <v>72</v>
      </c>
      <c r="B243" s="9">
        <v>1.27</v>
      </c>
      <c r="C243" s="9">
        <v>5.4</v>
      </c>
      <c r="D243" s="5">
        <f t="shared" si="3"/>
        <v>0.23518518518518516</v>
      </c>
    </row>
    <row r="244" spans="1:4" ht="16" x14ac:dyDescent="0.35">
      <c r="A244" s="8" t="s">
        <v>351</v>
      </c>
      <c r="B244" s="9">
        <v>0.83</v>
      </c>
      <c r="C244" s="9">
        <v>5.39</v>
      </c>
      <c r="D244" s="5">
        <f t="shared" si="3"/>
        <v>0.15398886827458255</v>
      </c>
    </row>
    <row r="245" spans="1:4" ht="16" x14ac:dyDescent="0.35">
      <c r="A245" s="8" t="s">
        <v>43</v>
      </c>
      <c r="B245" s="9">
        <v>2.57</v>
      </c>
      <c r="C245" s="9">
        <v>5.38</v>
      </c>
      <c r="D245" s="5">
        <f t="shared" si="3"/>
        <v>0.47769516728624534</v>
      </c>
    </row>
    <row r="246" spans="1:4" ht="16" x14ac:dyDescent="0.35">
      <c r="A246" s="8" t="s">
        <v>47</v>
      </c>
      <c r="B246" s="9">
        <v>1.49</v>
      </c>
      <c r="C246" s="9">
        <v>5.33</v>
      </c>
      <c r="D246" s="5">
        <f t="shared" si="3"/>
        <v>0.27954971857410882</v>
      </c>
    </row>
    <row r="247" spans="1:4" ht="16" x14ac:dyDescent="0.35">
      <c r="A247" s="8" t="s">
        <v>51</v>
      </c>
      <c r="B247" s="9">
        <v>1.4</v>
      </c>
      <c r="C247" s="9">
        <v>5.33</v>
      </c>
      <c r="D247" s="5">
        <f t="shared" si="3"/>
        <v>0.26266416510318946</v>
      </c>
    </row>
    <row r="248" spans="1:4" ht="16" x14ac:dyDescent="0.35">
      <c r="A248" s="8" t="s">
        <v>189</v>
      </c>
      <c r="B248" s="9">
        <v>0.98</v>
      </c>
      <c r="C248" s="9">
        <v>5.33</v>
      </c>
      <c r="D248" s="5">
        <f t="shared" si="3"/>
        <v>0.18386491557223264</v>
      </c>
    </row>
    <row r="249" spans="1:4" ht="16" x14ac:dyDescent="0.35">
      <c r="A249" s="8" t="s">
        <v>212</v>
      </c>
      <c r="B249" s="9">
        <v>0.9</v>
      </c>
      <c r="C249" s="9">
        <v>5.31</v>
      </c>
      <c r="D249" s="5">
        <f t="shared" si="3"/>
        <v>0.16949152542372883</v>
      </c>
    </row>
    <row r="250" spans="1:4" ht="16" x14ac:dyDescent="0.35">
      <c r="A250" s="8" t="s">
        <v>167</v>
      </c>
      <c r="B250" s="9">
        <v>1.89</v>
      </c>
      <c r="C250" s="9">
        <v>5.29</v>
      </c>
      <c r="D250" s="5">
        <f t="shared" si="3"/>
        <v>0.35727788279773154</v>
      </c>
    </row>
    <row r="251" spans="1:4" ht="16" x14ac:dyDescent="0.35">
      <c r="A251" s="8" t="s">
        <v>255</v>
      </c>
      <c r="B251" s="9">
        <v>2.57</v>
      </c>
      <c r="C251" s="9">
        <v>5.27</v>
      </c>
      <c r="D251" s="5">
        <f t="shared" si="3"/>
        <v>0.48766603415559773</v>
      </c>
    </row>
    <row r="252" spans="1:4" ht="16" x14ac:dyDescent="0.35">
      <c r="A252" s="8" t="s">
        <v>61</v>
      </c>
      <c r="B252" s="9">
        <v>1.62</v>
      </c>
      <c r="C252" s="9">
        <v>5.2</v>
      </c>
      <c r="D252" s="5">
        <f t="shared" si="3"/>
        <v>0.31153846153846154</v>
      </c>
    </row>
    <row r="253" spans="1:4" ht="16" x14ac:dyDescent="0.35">
      <c r="A253" s="8" t="s">
        <v>333</v>
      </c>
      <c r="B253" s="9">
        <v>1.3</v>
      </c>
      <c r="C253" s="9">
        <v>5.2</v>
      </c>
      <c r="D253" s="5">
        <f t="shared" si="3"/>
        <v>0.25</v>
      </c>
    </row>
    <row r="254" spans="1:4" ht="16" x14ac:dyDescent="0.35">
      <c r="A254" s="8" t="s">
        <v>83</v>
      </c>
      <c r="B254" s="9">
        <v>0.4</v>
      </c>
      <c r="C254" s="9">
        <v>5.17</v>
      </c>
      <c r="D254" s="5">
        <f t="shared" si="3"/>
        <v>7.7369439071566737E-2</v>
      </c>
    </row>
    <row r="255" spans="1:4" ht="16" x14ac:dyDescent="0.35">
      <c r="A255" s="8" t="s">
        <v>311</v>
      </c>
      <c r="B255" s="10">
        <v>0</v>
      </c>
      <c r="C255" s="9">
        <v>5.17</v>
      </c>
      <c r="D255" s="5">
        <f t="shared" si="3"/>
        <v>0</v>
      </c>
    </row>
    <row r="256" spans="1:4" ht="16" x14ac:dyDescent="0.35">
      <c r="A256" s="8" t="s">
        <v>70</v>
      </c>
      <c r="B256" s="9">
        <v>2.1</v>
      </c>
      <c r="C256" s="9">
        <v>5.16</v>
      </c>
      <c r="D256" s="5">
        <f t="shared" si="3"/>
        <v>0.40697674418604651</v>
      </c>
    </row>
    <row r="257" spans="1:4" ht="16" x14ac:dyDescent="0.35">
      <c r="A257" s="8" t="s">
        <v>329</v>
      </c>
      <c r="B257" s="9">
        <v>2.08</v>
      </c>
      <c r="C257" s="9">
        <v>5.16</v>
      </c>
      <c r="D257" s="5">
        <f t="shared" si="3"/>
        <v>0.40310077519379844</v>
      </c>
    </row>
    <row r="258" spans="1:4" ht="16" x14ac:dyDescent="0.35">
      <c r="A258" s="8" t="s">
        <v>497</v>
      </c>
      <c r="B258" s="9">
        <v>1.68</v>
      </c>
      <c r="C258" s="9">
        <v>5.16</v>
      </c>
      <c r="D258" s="5">
        <f t="shared" ref="D258:D321" si="4">B258/C258</f>
        <v>0.32558139534883718</v>
      </c>
    </row>
    <row r="259" spans="1:4" ht="16" x14ac:dyDescent="0.35">
      <c r="A259" s="8" t="s">
        <v>11</v>
      </c>
      <c r="B259" s="10">
        <v>0</v>
      </c>
      <c r="C259" s="9">
        <v>5.14</v>
      </c>
      <c r="D259" s="5">
        <f t="shared" si="4"/>
        <v>0</v>
      </c>
    </row>
    <row r="260" spans="1:4" ht="16" x14ac:dyDescent="0.35">
      <c r="A260" s="8" t="s">
        <v>34</v>
      </c>
      <c r="B260" s="9">
        <v>0.65</v>
      </c>
      <c r="C260" s="9">
        <v>5.09</v>
      </c>
      <c r="D260" s="5">
        <f t="shared" si="4"/>
        <v>0.12770137524557956</v>
      </c>
    </row>
    <row r="261" spans="1:4" ht="16" x14ac:dyDescent="0.35">
      <c r="A261" s="8" t="s">
        <v>142</v>
      </c>
      <c r="B261" s="9">
        <v>2.58</v>
      </c>
      <c r="C261" s="9">
        <v>5.07</v>
      </c>
      <c r="D261" s="5">
        <f t="shared" si="4"/>
        <v>0.50887573964497035</v>
      </c>
    </row>
    <row r="262" spans="1:4" ht="16" x14ac:dyDescent="0.35">
      <c r="A262" s="8" t="s">
        <v>303</v>
      </c>
      <c r="B262" s="9">
        <v>1.0900000000000001</v>
      </c>
      <c r="C262" s="9">
        <v>5.07</v>
      </c>
      <c r="D262" s="5">
        <f t="shared" si="4"/>
        <v>0.21499013806706116</v>
      </c>
    </row>
    <row r="263" spans="1:4" ht="16" x14ac:dyDescent="0.35">
      <c r="A263" s="8" t="s">
        <v>62</v>
      </c>
      <c r="B263" s="9">
        <v>0.99</v>
      </c>
      <c r="C263" s="9">
        <v>5.07</v>
      </c>
      <c r="D263" s="5">
        <f t="shared" si="4"/>
        <v>0.19526627218934911</v>
      </c>
    </row>
    <row r="264" spans="1:4" ht="16" x14ac:dyDescent="0.35">
      <c r="A264" s="8" t="s">
        <v>48</v>
      </c>
      <c r="B264" s="9">
        <v>0.74</v>
      </c>
      <c r="C264" s="9">
        <v>5.07</v>
      </c>
      <c r="D264" s="5">
        <f t="shared" si="4"/>
        <v>0.14595660749506903</v>
      </c>
    </row>
    <row r="265" spans="1:4" ht="16" x14ac:dyDescent="0.35">
      <c r="A265" s="8" t="s">
        <v>535</v>
      </c>
      <c r="B265" s="9">
        <v>0.85</v>
      </c>
      <c r="C265" s="9">
        <v>5.05</v>
      </c>
      <c r="D265" s="5">
        <f t="shared" si="4"/>
        <v>0.16831683168316833</v>
      </c>
    </row>
    <row r="266" spans="1:4" ht="16" x14ac:dyDescent="0.35">
      <c r="A266" s="8" t="s">
        <v>239</v>
      </c>
      <c r="B266" s="9">
        <v>1.26</v>
      </c>
      <c r="C266" s="9">
        <v>5.01</v>
      </c>
      <c r="D266" s="5">
        <f t="shared" si="4"/>
        <v>0.25149700598802399</v>
      </c>
    </row>
    <row r="267" spans="1:4" ht="16" x14ac:dyDescent="0.35">
      <c r="A267" s="8" t="s">
        <v>203</v>
      </c>
      <c r="B267" s="10">
        <v>0</v>
      </c>
      <c r="C267" s="10">
        <v>5</v>
      </c>
      <c r="D267" s="5">
        <f t="shared" si="4"/>
        <v>0</v>
      </c>
    </row>
    <row r="268" spans="1:4" ht="16" x14ac:dyDescent="0.35">
      <c r="A268" s="8" t="s">
        <v>466</v>
      </c>
      <c r="B268" s="9">
        <v>1.51</v>
      </c>
      <c r="C268" s="9">
        <v>4.99</v>
      </c>
      <c r="D268" s="5">
        <f t="shared" si="4"/>
        <v>0.30260521042084165</v>
      </c>
    </row>
    <row r="269" spans="1:4" ht="16" x14ac:dyDescent="0.35">
      <c r="A269" s="8" t="s">
        <v>45</v>
      </c>
      <c r="B269" s="9">
        <v>1.22</v>
      </c>
      <c r="C269" s="9">
        <v>4.99</v>
      </c>
      <c r="D269" s="5">
        <f t="shared" si="4"/>
        <v>0.24448897795591182</v>
      </c>
    </row>
    <row r="270" spans="1:4" ht="16" x14ac:dyDescent="0.35">
      <c r="A270" s="8" t="s">
        <v>337</v>
      </c>
      <c r="B270" s="9">
        <v>0.89</v>
      </c>
      <c r="C270" s="9">
        <v>4.9800000000000004</v>
      </c>
      <c r="D270" s="5">
        <f t="shared" si="4"/>
        <v>0.17871485943775098</v>
      </c>
    </row>
    <row r="271" spans="1:4" ht="16" x14ac:dyDescent="0.35">
      <c r="A271" s="8" t="s">
        <v>138</v>
      </c>
      <c r="B271" s="9">
        <v>0.53</v>
      </c>
      <c r="C271" s="9">
        <v>4.9800000000000004</v>
      </c>
      <c r="D271" s="5">
        <f t="shared" si="4"/>
        <v>0.10642570281124497</v>
      </c>
    </row>
    <row r="272" spans="1:4" ht="16" x14ac:dyDescent="0.35">
      <c r="A272" s="8" t="s">
        <v>280</v>
      </c>
      <c r="B272" s="10">
        <v>0</v>
      </c>
      <c r="C272" s="9">
        <v>4.9800000000000004</v>
      </c>
      <c r="D272" s="5">
        <f t="shared" si="4"/>
        <v>0</v>
      </c>
    </row>
    <row r="273" spans="1:4" ht="16" x14ac:dyDescent="0.35">
      <c r="A273" s="8" t="s">
        <v>15</v>
      </c>
      <c r="B273" s="10">
        <v>0</v>
      </c>
      <c r="C273" s="9">
        <v>4.97</v>
      </c>
      <c r="D273" s="5">
        <f t="shared" si="4"/>
        <v>0</v>
      </c>
    </row>
    <row r="274" spans="1:4" ht="16" x14ac:dyDescent="0.35">
      <c r="A274" s="8" t="s">
        <v>88</v>
      </c>
      <c r="B274" s="9">
        <v>1.85</v>
      </c>
      <c r="C274" s="9">
        <v>4.96</v>
      </c>
      <c r="D274" s="5">
        <f t="shared" si="4"/>
        <v>0.37298387096774194</v>
      </c>
    </row>
    <row r="275" spans="1:4" ht="16" x14ac:dyDescent="0.35">
      <c r="A275" s="8" t="s">
        <v>407</v>
      </c>
      <c r="B275" s="9">
        <v>4.16</v>
      </c>
      <c r="C275" s="9">
        <v>4.95</v>
      </c>
      <c r="D275" s="5">
        <f t="shared" si="4"/>
        <v>0.84040404040404038</v>
      </c>
    </row>
    <row r="276" spans="1:4" ht="16" x14ac:dyDescent="0.35">
      <c r="A276" s="8" t="s">
        <v>147</v>
      </c>
      <c r="B276" s="9">
        <v>1.21</v>
      </c>
      <c r="C276" s="9">
        <v>4.95</v>
      </c>
      <c r="D276" s="5">
        <f t="shared" si="4"/>
        <v>0.24444444444444444</v>
      </c>
    </row>
    <row r="277" spans="1:4" ht="16" x14ac:dyDescent="0.35">
      <c r="A277" s="8" t="s">
        <v>15</v>
      </c>
      <c r="B277" s="9">
        <v>0.79</v>
      </c>
      <c r="C277" s="9">
        <v>4.9400000000000004</v>
      </c>
      <c r="D277" s="5">
        <f t="shared" si="4"/>
        <v>0.15991902834008095</v>
      </c>
    </row>
    <row r="278" spans="1:4" ht="16" x14ac:dyDescent="0.35">
      <c r="A278" s="8" t="s">
        <v>477</v>
      </c>
      <c r="B278" s="9">
        <v>0.32</v>
      </c>
      <c r="C278" s="9">
        <v>4.9400000000000004</v>
      </c>
      <c r="D278" s="5">
        <f t="shared" si="4"/>
        <v>6.4777327935222673E-2</v>
      </c>
    </row>
    <row r="279" spans="1:4" ht="16" x14ac:dyDescent="0.35">
      <c r="A279" s="8" t="s">
        <v>293</v>
      </c>
      <c r="B279" s="9">
        <v>1.18</v>
      </c>
      <c r="C279" s="9">
        <v>4.91</v>
      </c>
      <c r="D279" s="5">
        <f t="shared" si="4"/>
        <v>0.24032586558044805</v>
      </c>
    </row>
    <row r="280" spans="1:4" ht="16" x14ac:dyDescent="0.35">
      <c r="A280" s="8" t="s">
        <v>554</v>
      </c>
      <c r="B280" s="9">
        <v>4.8899999999999997</v>
      </c>
      <c r="C280" s="9">
        <v>4.8899999999999997</v>
      </c>
      <c r="D280" s="5">
        <f t="shared" si="4"/>
        <v>1</v>
      </c>
    </row>
    <row r="281" spans="1:4" ht="16" x14ac:dyDescent="0.35">
      <c r="A281" s="8" t="s">
        <v>397</v>
      </c>
      <c r="B281" s="9">
        <v>1.1599999999999999</v>
      </c>
      <c r="C281" s="9">
        <v>4.8899999999999997</v>
      </c>
      <c r="D281" s="5">
        <f t="shared" si="4"/>
        <v>0.23721881390593047</v>
      </c>
    </row>
    <row r="282" spans="1:4" ht="16" x14ac:dyDescent="0.35">
      <c r="A282" s="8" t="s">
        <v>258</v>
      </c>
      <c r="B282" s="9">
        <v>1.98</v>
      </c>
      <c r="C282" s="9">
        <v>4.87</v>
      </c>
      <c r="D282" s="5">
        <f t="shared" si="4"/>
        <v>0.40657084188911702</v>
      </c>
    </row>
    <row r="283" spans="1:4" ht="16" x14ac:dyDescent="0.35">
      <c r="A283" s="8" t="s">
        <v>24</v>
      </c>
      <c r="B283" s="9">
        <v>1.91</v>
      </c>
      <c r="C283" s="9">
        <v>4.83</v>
      </c>
      <c r="D283" s="5">
        <f t="shared" si="4"/>
        <v>0.39544513457556935</v>
      </c>
    </row>
    <row r="284" spans="1:4" ht="16" x14ac:dyDescent="0.35">
      <c r="A284" s="8" t="s">
        <v>59</v>
      </c>
      <c r="B284" s="9">
        <v>0.96</v>
      </c>
      <c r="C284" s="9">
        <v>4.82</v>
      </c>
      <c r="D284" s="5">
        <f t="shared" si="4"/>
        <v>0.19917012448132779</v>
      </c>
    </row>
    <row r="285" spans="1:4" ht="16" x14ac:dyDescent="0.35">
      <c r="A285" s="8" t="s">
        <v>228</v>
      </c>
      <c r="B285" s="9">
        <v>1.78</v>
      </c>
      <c r="C285" s="9">
        <v>4.8</v>
      </c>
      <c r="D285" s="5">
        <f t="shared" si="4"/>
        <v>0.37083333333333335</v>
      </c>
    </row>
    <row r="286" spans="1:4" ht="16" x14ac:dyDescent="0.35">
      <c r="A286" s="8" t="s">
        <v>357</v>
      </c>
      <c r="B286" s="9">
        <v>1.54</v>
      </c>
      <c r="C286" s="9">
        <v>4.79</v>
      </c>
      <c r="D286" s="5">
        <f t="shared" si="4"/>
        <v>0.32150313152400833</v>
      </c>
    </row>
    <row r="287" spans="1:4" ht="16" x14ac:dyDescent="0.35">
      <c r="A287" s="8" t="s">
        <v>286</v>
      </c>
      <c r="B287" s="9">
        <v>1.41</v>
      </c>
      <c r="C287" s="9">
        <v>4.76</v>
      </c>
      <c r="D287" s="5">
        <f t="shared" si="4"/>
        <v>0.29621848739495799</v>
      </c>
    </row>
    <row r="288" spans="1:4" ht="16" x14ac:dyDescent="0.35">
      <c r="A288" s="8" t="s">
        <v>461</v>
      </c>
      <c r="B288" s="10">
        <v>0</v>
      </c>
      <c r="C288" s="9">
        <v>4.76</v>
      </c>
      <c r="D288" s="5">
        <f t="shared" si="4"/>
        <v>0</v>
      </c>
    </row>
    <row r="289" spans="1:4" ht="16" x14ac:dyDescent="0.35">
      <c r="A289" s="8" t="s">
        <v>95</v>
      </c>
      <c r="B289" s="9">
        <v>0.65</v>
      </c>
      <c r="C289" s="9">
        <v>4.74</v>
      </c>
      <c r="D289" s="5">
        <f t="shared" si="4"/>
        <v>0.1371308016877637</v>
      </c>
    </row>
    <row r="290" spans="1:4" ht="16" x14ac:dyDescent="0.35">
      <c r="A290" s="8" t="s">
        <v>480</v>
      </c>
      <c r="B290" s="9">
        <v>0.69</v>
      </c>
      <c r="C290" s="9">
        <v>4.72</v>
      </c>
      <c r="D290" s="5">
        <f t="shared" si="4"/>
        <v>0.1461864406779661</v>
      </c>
    </row>
    <row r="291" spans="1:4" ht="16" x14ac:dyDescent="0.35">
      <c r="A291" s="8" t="s">
        <v>452</v>
      </c>
      <c r="B291" s="9">
        <v>0.45</v>
      </c>
      <c r="C291" s="9">
        <v>4.71</v>
      </c>
      <c r="D291" s="5">
        <f t="shared" si="4"/>
        <v>9.5541401273885357E-2</v>
      </c>
    </row>
    <row r="292" spans="1:4" ht="16" x14ac:dyDescent="0.35">
      <c r="A292" s="8" t="s">
        <v>282</v>
      </c>
      <c r="B292" s="9">
        <v>1.34</v>
      </c>
      <c r="C292" s="9">
        <v>4.6900000000000004</v>
      </c>
      <c r="D292" s="5">
        <f t="shared" si="4"/>
        <v>0.2857142857142857</v>
      </c>
    </row>
    <row r="293" spans="1:4" ht="16" x14ac:dyDescent="0.35">
      <c r="A293" s="8" t="s">
        <v>77</v>
      </c>
      <c r="B293" s="9">
        <v>0.96</v>
      </c>
      <c r="C293" s="9">
        <v>4.68</v>
      </c>
      <c r="D293" s="5">
        <f t="shared" si="4"/>
        <v>0.20512820512820512</v>
      </c>
    </row>
    <row r="294" spans="1:4" ht="16" x14ac:dyDescent="0.35">
      <c r="A294" s="8" t="s">
        <v>548</v>
      </c>
      <c r="B294" s="9">
        <v>0.97</v>
      </c>
      <c r="C294" s="9">
        <v>4.67</v>
      </c>
      <c r="D294" s="5">
        <f t="shared" si="4"/>
        <v>0.2077087794432548</v>
      </c>
    </row>
    <row r="295" spans="1:4" ht="16" x14ac:dyDescent="0.35">
      <c r="A295" s="8" t="s">
        <v>238</v>
      </c>
      <c r="B295" s="9">
        <v>1.85</v>
      </c>
      <c r="C295" s="9">
        <v>4.66</v>
      </c>
      <c r="D295" s="5">
        <f t="shared" si="4"/>
        <v>0.39699570815450647</v>
      </c>
    </row>
    <row r="296" spans="1:4" ht="16" x14ac:dyDescent="0.35">
      <c r="A296" s="8" t="s">
        <v>509</v>
      </c>
      <c r="B296" s="9">
        <v>1.0900000000000001</v>
      </c>
      <c r="C296" s="9">
        <v>4.66</v>
      </c>
      <c r="D296" s="5">
        <f t="shared" si="4"/>
        <v>0.23390557939914164</v>
      </c>
    </row>
    <row r="297" spans="1:4" ht="16" x14ac:dyDescent="0.35">
      <c r="A297" s="8" t="s">
        <v>74</v>
      </c>
      <c r="B297" s="9">
        <v>0.77</v>
      </c>
      <c r="C297" s="9">
        <v>4.6399999999999997</v>
      </c>
      <c r="D297" s="5">
        <f t="shared" si="4"/>
        <v>0.16594827586206898</v>
      </c>
    </row>
    <row r="298" spans="1:4" ht="16" x14ac:dyDescent="0.35">
      <c r="A298" s="8" t="s">
        <v>352</v>
      </c>
      <c r="B298" s="10">
        <v>0</v>
      </c>
      <c r="C298" s="9">
        <v>4.6399999999999997</v>
      </c>
      <c r="D298" s="5">
        <f t="shared" si="4"/>
        <v>0</v>
      </c>
    </row>
    <row r="299" spans="1:4" ht="16" x14ac:dyDescent="0.35">
      <c r="A299" s="8" t="s">
        <v>349</v>
      </c>
      <c r="B299" s="9">
        <v>1.39</v>
      </c>
      <c r="C299" s="9">
        <v>4.5999999999999996</v>
      </c>
      <c r="D299" s="5">
        <f t="shared" si="4"/>
        <v>0.30217391304347824</v>
      </c>
    </row>
    <row r="300" spans="1:4" ht="16" x14ac:dyDescent="0.35">
      <c r="A300" s="8" t="s">
        <v>534</v>
      </c>
      <c r="B300" s="9">
        <v>1.77</v>
      </c>
      <c r="C300" s="9">
        <v>4.59</v>
      </c>
      <c r="D300" s="5">
        <f t="shared" si="4"/>
        <v>0.38562091503267976</v>
      </c>
    </row>
    <row r="301" spans="1:4" ht="16" x14ac:dyDescent="0.35">
      <c r="A301" s="8" t="s">
        <v>318</v>
      </c>
      <c r="B301" s="9">
        <v>1.77</v>
      </c>
      <c r="C301" s="9">
        <v>4.54</v>
      </c>
      <c r="D301" s="5">
        <f t="shared" si="4"/>
        <v>0.38986784140969161</v>
      </c>
    </row>
    <row r="302" spans="1:4" ht="16" x14ac:dyDescent="0.35">
      <c r="A302" s="8" t="s">
        <v>495</v>
      </c>
      <c r="B302" s="9">
        <v>2.77</v>
      </c>
      <c r="C302" s="9">
        <v>4.53</v>
      </c>
      <c r="D302" s="5">
        <f t="shared" si="4"/>
        <v>0.61147902869757176</v>
      </c>
    </row>
    <row r="303" spans="1:4" ht="16" x14ac:dyDescent="0.35">
      <c r="A303" s="8" t="s">
        <v>465</v>
      </c>
      <c r="B303" s="9">
        <v>0.93</v>
      </c>
      <c r="C303" s="9">
        <v>4.53</v>
      </c>
      <c r="D303" s="5">
        <f t="shared" si="4"/>
        <v>0.20529801324503311</v>
      </c>
    </row>
    <row r="304" spans="1:4" ht="16" x14ac:dyDescent="0.35">
      <c r="A304" s="8" t="s">
        <v>183</v>
      </c>
      <c r="B304" s="9">
        <v>0.56000000000000005</v>
      </c>
      <c r="C304" s="9">
        <v>4.51</v>
      </c>
      <c r="D304" s="5">
        <f t="shared" si="4"/>
        <v>0.12416851441241687</v>
      </c>
    </row>
    <row r="305" spans="1:4" ht="16" x14ac:dyDescent="0.35">
      <c r="A305" s="8" t="s">
        <v>13</v>
      </c>
      <c r="B305" s="9">
        <v>1.54</v>
      </c>
      <c r="C305" s="9">
        <v>4.5</v>
      </c>
      <c r="D305" s="5">
        <f t="shared" si="4"/>
        <v>0.34222222222222221</v>
      </c>
    </row>
    <row r="306" spans="1:4" ht="16" x14ac:dyDescent="0.35">
      <c r="A306" s="8" t="s">
        <v>409</v>
      </c>
      <c r="B306" s="9">
        <v>0.51</v>
      </c>
      <c r="C306" s="9">
        <v>4.5</v>
      </c>
      <c r="D306" s="5">
        <f t="shared" si="4"/>
        <v>0.11333333333333334</v>
      </c>
    </row>
    <row r="307" spans="1:4" ht="16" x14ac:dyDescent="0.35">
      <c r="A307" s="8" t="s">
        <v>346</v>
      </c>
      <c r="B307" s="9">
        <v>1.65</v>
      </c>
      <c r="C307" s="9">
        <v>4.49</v>
      </c>
      <c r="D307" s="5">
        <f t="shared" si="4"/>
        <v>0.36748329621380843</v>
      </c>
    </row>
    <row r="308" spans="1:4" ht="16" x14ac:dyDescent="0.35">
      <c r="A308" s="8" t="s">
        <v>115</v>
      </c>
      <c r="B308" s="9">
        <v>3.96</v>
      </c>
      <c r="C308" s="9">
        <v>4.47</v>
      </c>
      <c r="D308" s="5">
        <f t="shared" si="4"/>
        <v>0.88590604026845643</v>
      </c>
    </row>
    <row r="309" spans="1:4" ht="16" x14ac:dyDescent="0.35">
      <c r="A309" s="8" t="s">
        <v>1</v>
      </c>
      <c r="B309" s="9">
        <v>2.0699999999999998</v>
      </c>
      <c r="C309" s="9">
        <v>4.46</v>
      </c>
      <c r="D309" s="5">
        <f t="shared" si="4"/>
        <v>0.46412556053811654</v>
      </c>
    </row>
    <row r="310" spans="1:4" ht="16" x14ac:dyDescent="0.35">
      <c r="A310" s="8" t="s">
        <v>52</v>
      </c>
      <c r="B310" s="9">
        <v>0.6</v>
      </c>
      <c r="C310" s="9">
        <v>4.46</v>
      </c>
      <c r="D310" s="5">
        <f t="shared" si="4"/>
        <v>0.13452914798206278</v>
      </c>
    </row>
    <row r="311" spans="1:4" ht="16" x14ac:dyDescent="0.35">
      <c r="A311" s="8" t="s">
        <v>314</v>
      </c>
      <c r="B311" s="9">
        <v>0.64</v>
      </c>
      <c r="C311" s="9">
        <v>4.45</v>
      </c>
      <c r="D311" s="5">
        <f t="shared" si="4"/>
        <v>0.14382022471910111</v>
      </c>
    </row>
    <row r="312" spans="1:4" ht="16" x14ac:dyDescent="0.35">
      <c r="A312" s="8" t="s">
        <v>36</v>
      </c>
      <c r="B312" s="9">
        <v>1.1000000000000001</v>
      </c>
      <c r="C312" s="9">
        <v>4.4000000000000004</v>
      </c>
      <c r="D312" s="5">
        <f t="shared" si="4"/>
        <v>0.25</v>
      </c>
    </row>
    <row r="313" spans="1:4" ht="16" x14ac:dyDescent="0.35">
      <c r="A313" s="8" t="s">
        <v>277</v>
      </c>
      <c r="B313" s="9">
        <v>0.74</v>
      </c>
      <c r="C313" s="9">
        <v>4.3899999999999997</v>
      </c>
      <c r="D313" s="5">
        <f t="shared" si="4"/>
        <v>0.16856492027334852</v>
      </c>
    </row>
    <row r="314" spans="1:4" ht="16" x14ac:dyDescent="0.35">
      <c r="A314" s="8" t="s">
        <v>54</v>
      </c>
      <c r="B314" s="9">
        <v>2.11</v>
      </c>
      <c r="C314" s="9">
        <v>4.37</v>
      </c>
      <c r="D314" s="5">
        <f t="shared" si="4"/>
        <v>0.48283752860411894</v>
      </c>
    </row>
    <row r="315" spans="1:4" ht="16" x14ac:dyDescent="0.35">
      <c r="A315" s="8" t="s">
        <v>112</v>
      </c>
      <c r="B315" s="9">
        <v>0.66</v>
      </c>
      <c r="C315" s="9">
        <v>4.3600000000000003</v>
      </c>
      <c r="D315" s="5">
        <f t="shared" si="4"/>
        <v>0.15137614678899083</v>
      </c>
    </row>
    <row r="316" spans="1:4" ht="16" x14ac:dyDescent="0.35">
      <c r="A316" s="8" t="s">
        <v>249</v>
      </c>
      <c r="B316" s="9">
        <v>0.79</v>
      </c>
      <c r="C316" s="9">
        <v>4.34</v>
      </c>
      <c r="D316" s="5">
        <f t="shared" si="4"/>
        <v>0.18202764976958527</v>
      </c>
    </row>
    <row r="317" spans="1:4" ht="16" x14ac:dyDescent="0.35">
      <c r="A317" s="8" t="s">
        <v>525</v>
      </c>
      <c r="B317" s="9">
        <v>0.92</v>
      </c>
      <c r="C317" s="9">
        <v>4.33</v>
      </c>
      <c r="D317" s="5">
        <f t="shared" si="4"/>
        <v>0.21247113163972287</v>
      </c>
    </row>
    <row r="318" spans="1:4" ht="16" x14ac:dyDescent="0.35">
      <c r="A318" s="8" t="s">
        <v>430</v>
      </c>
      <c r="B318" s="9">
        <v>0.43</v>
      </c>
      <c r="C318" s="9">
        <v>4.3099999999999996</v>
      </c>
      <c r="D318" s="5">
        <f t="shared" si="4"/>
        <v>9.9767981438515091E-2</v>
      </c>
    </row>
    <row r="319" spans="1:4" ht="16" x14ac:dyDescent="0.35">
      <c r="A319" s="8" t="s">
        <v>484</v>
      </c>
      <c r="B319" s="9">
        <v>0.43</v>
      </c>
      <c r="C319" s="9">
        <v>4.25</v>
      </c>
      <c r="D319" s="5">
        <f t="shared" si="4"/>
        <v>0.1011764705882353</v>
      </c>
    </row>
    <row r="320" spans="1:4" ht="16" x14ac:dyDescent="0.35">
      <c r="A320" s="8" t="s">
        <v>476</v>
      </c>
      <c r="B320" s="9">
        <v>1.06</v>
      </c>
      <c r="C320" s="9">
        <v>4.24</v>
      </c>
      <c r="D320" s="5">
        <f t="shared" si="4"/>
        <v>0.25</v>
      </c>
    </row>
    <row r="321" spans="1:4" ht="16" x14ac:dyDescent="0.35">
      <c r="A321" s="8" t="s">
        <v>6</v>
      </c>
      <c r="B321" s="9">
        <v>0.73</v>
      </c>
      <c r="C321" s="9">
        <v>4.24</v>
      </c>
      <c r="D321" s="5">
        <f t="shared" si="4"/>
        <v>0.17216981132075471</v>
      </c>
    </row>
    <row r="322" spans="1:4" ht="16" x14ac:dyDescent="0.35">
      <c r="A322" s="8" t="s">
        <v>24</v>
      </c>
      <c r="B322" s="10">
        <v>0</v>
      </c>
      <c r="C322" s="9">
        <v>4.24</v>
      </c>
      <c r="D322" s="5">
        <f t="shared" ref="D322:D385" si="5">B322/C322</f>
        <v>0</v>
      </c>
    </row>
    <row r="323" spans="1:4" ht="16" x14ac:dyDescent="0.35">
      <c r="A323" s="8" t="s">
        <v>413</v>
      </c>
      <c r="B323" s="9">
        <v>0.89</v>
      </c>
      <c r="C323" s="9">
        <v>4.2300000000000004</v>
      </c>
      <c r="D323" s="5">
        <f t="shared" si="5"/>
        <v>0.21040189125295505</v>
      </c>
    </row>
    <row r="324" spans="1:4" ht="16" x14ac:dyDescent="0.35">
      <c r="A324" s="8" t="s">
        <v>206</v>
      </c>
      <c r="B324" s="9">
        <v>1.6</v>
      </c>
      <c r="C324" s="9">
        <v>4.22</v>
      </c>
      <c r="D324" s="5">
        <f t="shared" si="5"/>
        <v>0.37914691943127965</v>
      </c>
    </row>
    <row r="325" spans="1:4" ht="16" x14ac:dyDescent="0.35">
      <c r="A325" s="8" t="s">
        <v>345</v>
      </c>
      <c r="B325" s="9">
        <v>0.22</v>
      </c>
      <c r="C325" s="9">
        <v>4.22</v>
      </c>
      <c r="D325" s="5">
        <f t="shared" si="5"/>
        <v>5.2132701421800952E-2</v>
      </c>
    </row>
    <row r="326" spans="1:4" ht="16" x14ac:dyDescent="0.35">
      <c r="A326" s="8" t="s">
        <v>506</v>
      </c>
      <c r="B326" s="9">
        <v>1.92</v>
      </c>
      <c r="C326" s="9">
        <v>4.21</v>
      </c>
      <c r="D326" s="5">
        <f t="shared" si="5"/>
        <v>0.4560570071258907</v>
      </c>
    </row>
    <row r="327" spans="1:4" ht="16" x14ac:dyDescent="0.35">
      <c r="A327" s="8" t="s">
        <v>210</v>
      </c>
      <c r="B327" s="9">
        <v>1.22</v>
      </c>
      <c r="C327" s="9">
        <v>4.2</v>
      </c>
      <c r="D327" s="5">
        <f t="shared" si="5"/>
        <v>0.29047619047619044</v>
      </c>
    </row>
    <row r="328" spans="1:4" ht="16" x14ac:dyDescent="0.35">
      <c r="A328" s="8" t="s">
        <v>276</v>
      </c>
      <c r="B328" s="9">
        <v>1.58</v>
      </c>
      <c r="C328" s="9">
        <v>4.18</v>
      </c>
      <c r="D328" s="5">
        <f t="shared" si="5"/>
        <v>0.3779904306220096</v>
      </c>
    </row>
    <row r="329" spans="1:4" ht="16" x14ac:dyDescent="0.35">
      <c r="A329" s="8" t="s">
        <v>312</v>
      </c>
      <c r="B329" s="9">
        <v>1.19</v>
      </c>
      <c r="C329" s="9">
        <v>4.17</v>
      </c>
      <c r="D329" s="5">
        <f t="shared" si="5"/>
        <v>0.28537170263788969</v>
      </c>
    </row>
    <row r="330" spans="1:4" ht="16" x14ac:dyDescent="0.35">
      <c r="A330" s="8" t="s">
        <v>138</v>
      </c>
      <c r="B330" s="9">
        <v>0.86</v>
      </c>
      <c r="C330" s="9">
        <v>4.1500000000000004</v>
      </c>
      <c r="D330" s="5">
        <f t="shared" si="5"/>
        <v>0.20722891566265059</v>
      </c>
    </row>
    <row r="331" spans="1:4" ht="16" x14ac:dyDescent="0.35">
      <c r="A331" s="8" t="s">
        <v>156</v>
      </c>
      <c r="B331" s="10">
        <v>0</v>
      </c>
      <c r="C331" s="9">
        <v>4.1100000000000003</v>
      </c>
      <c r="D331" s="5">
        <f t="shared" si="5"/>
        <v>0</v>
      </c>
    </row>
    <row r="332" spans="1:4" ht="16" x14ac:dyDescent="0.35">
      <c r="A332" s="8" t="s">
        <v>120</v>
      </c>
      <c r="B332" s="9">
        <v>0.75</v>
      </c>
      <c r="C332" s="9">
        <v>4.09</v>
      </c>
      <c r="D332" s="5">
        <f t="shared" si="5"/>
        <v>0.18337408312958436</v>
      </c>
    </row>
    <row r="333" spans="1:4" ht="16" x14ac:dyDescent="0.35">
      <c r="A333" s="8" t="s">
        <v>294</v>
      </c>
      <c r="B333" s="9">
        <v>0.38</v>
      </c>
      <c r="C333" s="9">
        <v>4.09</v>
      </c>
      <c r="D333" s="5">
        <f t="shared" si="5"/>
        <v>9.2909535452322736E-2</v>
      </c>
    </row>
    <row r="334" spans="1:4" ht="16" x14ac:dyDescent="0.35">
      <c r="A334" s="8" t="s">
        <v>177</v>
      </c>
      <c r="B334" s="9">
        <v>1.56</v>
      </c>
      <c r="C334" s="9">
        <v>4.0599999999999996</v>
      </c>
      <c r="D334" s="5">
        <f t="shared" si="5"/>
        <v>0.38423645320197047</v>
      </c>
    </row>
    <row r="335" spans="1:4" ht="16" x14ac:dyDescent="0.35">
      <c r="A335" s="8" t="s">
        <v>371</v>
      </c>
      <c r="B335" s="9">
        <v>1.1100000000000001</v>
      </c>
      <c r="C335" s="9">
        <v>4.0599999999999996</v>
      </c>
      <c r="D335" s="5">
        <f t="shared" si="5"/>
        <v>0.27339901477832518</v>
      </c>
    </row>
    <row r="336" spans="1:4" ht="16" x14ac:dyDescent="0.35">
      <c r="A336" s="8" t="s">
        <v>302</v>
      </c>
      <c r="B336" s="9">
        <v>0.79</v>
      </c>
      <c r="C336" s="9">
        <v>4.04</v>
      </c>
      <c r="D336" s="5">
        <f t="shared" si="5"/>
        <v>0.19554455445544555</v>
      </c>
    </row>
    <row r="337" spans="1:4" ht="16" x14ac:dyDescent="0.35">
      <c r="A337" s="8" t="s">
        <v>111</v>
      </c>
      <c r="B337" s="9">
        <v>1.58</v>
      </c>
      <c r="C337" s="9">
        <v>4.0199999999999996</v>
      </c>
      <c r="D337" s="5">
        <f t="shared" si="5"/>
        <v>0.39303482587064681</v>
      </c>
    </row>
    <row r="338" spans="1:4" ht="16" x14ac:dyDescent="0.35">
      <c r="A338" s="8" t="s">
        <v>21</v>
      </c>
      <c r="B338" s="9">
        <v>0.64</v>
      </c>
      <c r="C338" s="9">
        <v>4.01</v>
      </c>
      <c r="D338" s="5">
        <f t="shared" si="5"/>
        <v>0.15960099750623444</v>
      </c>
    </row>
    <row r="339" spans="1:4" ht="16" x14ac:dyDescent="0.35">
      <c r="A339" s="8" t="s">
        <v>315</v>
      </c>
      <c r="B339" s="10">
        <v>0</v>
      </c>
      <c r="C339" s="9">
        <v>4.01</v>
      </c>
      <c r="D339" s="5">
        <f t="shared" si="5"/>
        <v>0</v>
      </c>
    </row>
    <row r="340" spans="1:4" ht="16" x14ac:dyDescent="0.35">
      <c r="A340" s="8" t="s">
        <v>469</v>
      </c>
      <c r="B340" s="10">
        <v>0</v>
      </c>
      <c r="C340" s="9">
        <v>3.97</v>
      </c>
      <c r="D340" s="5">
        <f t="shared" si="5"/>
        <v>0</v>
      </c>
    </row>
    <row r="341" spans="1:4" ht="16" x14ac:dyDescent="0.35">
      <c r="A341" s="8" t="s">
        <v>363</v>
      </c>
      <c r="B341" s="9">
        <v>1.72</v>
      </c>
      <c r="C341" s="9">
        <v>3.95</v>
      </c>
      <c r="D341" s="5">
        <f t="shared" si="5"/>
        <v>0.43544303797468353</v>
      </c>
    </row>
    <row r="342" spans="1:4" ht="16" x14ac:dyDescent="0.35">
      <c r="A342" s="8" t="s">
        <v>66</v>
      </c>
      <c r="B342" s="9">
        <v>1.33</v>
      </c>
      <c r="C342" s="9">
        <v>3.95</v>
      </c>
      <c r="D342" s="5">
        <f t="shared" si="5"/>
        <v>0.33670886075949369</v>
      </c>
    </row>
    <row r="343" spans="1:4" ht="16" x14ac:dyDescent="0.35">
      <c r="A343" s="8" t="s">
        <v>442</v>
      </c>
      <c r="B343" s="9">
        <v>0.42</v>
      </c>
      <c r="C343" s="9">
        <v>3.93</v>
      </c>
      <c r="D343" s="5">
        <f t="shared" si="5"/>
        <v>0.10687022900763359</v>
      </c>
    </row>
    <row r="344" spans="1:4" ht="16" x14ac:dyDescent="0.35">
      <c r="A344" s="8" t="s">
        <v>318</v>
      </c>
      <c r="B344" s="9">
        <v>0.37</v>
      </c>
      <c r="C344" s="9">
        <v>3.91</v>
      </c>
      <c r="D344" s="5">
        <f t="shared" si="5"/>
        <v>9.462915601023017E-2</v>
      </c>
    </row>
    <row r="345" spans="1:4" ht="16" x14ac:dyDescent="0.35">
      <c r="A345" s="8" t="s">
        <v>206</v>
      </c>
      <c r="B345" s="9">
        <v>1.05</v>
      </c>
      <c r="C345" s="9">
        <v>3.9</v>
      </c>
      <c r="D345" s="5">
        <f t="shared" si="5"/>
        <v>0.26923076923076927</v>
      </c>
    </row>
    <row r="346" spans="1:4" ht="16" x14ac:dyDescent="0.35">
      <c r="A346" s="8" t="s">
        <v>233</v>
      </c>
      <c r="B346" s="9">
        <v>1.02</v>
      </c>
      <c r="C346" s="9">
        <v>3.9</v>
      </c>
      <c r="D346" s="5">
        <f t="shared" si="5"/>
        <v>0.26153846153846155</v>
      </c>
    </row>
    <row r="347" spans="1:4" ht="16" x14ac:dyDescent="0.35">
      <c r="A347" s="8" t="s">
        <v>99</v>
      </c>
      <c r="B347" s="9">
        <v>0.84</v>
      </c>
      <c r="C347" s="9">
        <v>3.88</v>
      </c>
      <c r="D347" s="5">
        <f t="shared" si="5"/>
        <v>0.21649484536082475</v>
      </c>
    </row>
    <row r="348" spans="1:4" ht="16" x14ac:dyDescent="0.35">
      <c r="A348" s="8" t="s">
        <v>474</v>
      </c>
      <c r="B348" s="9">
        <v>1.6</v>
      </c>
      <c r="C348" s="9">
        <v>3.87</v>
      </c>
      <c r="D348" s="5">
        <f t="shared" si="5"/>
        <v>0.41343669250645998</v>
      </c>
    </row>
    <row r="349" spans="1:4" ht="16" x14ac:dyDescent="0.35">
      <c r="A349" s="8" t="s">
        <v>349</v>
      </c>
      <c r="B349" s="9">
        <v>0.71</v>
      </c>
      <c r="C349" s="9">
        <v>3.84</v>
      </c>
      <c r="D349" s="5">
        <f t="shared" si="5"/>
        <v>0.18489583333333334</v>
      </c>
    </row>
    <row r="350" spans="1:4" ht="16" x14ac:dyDescent="0.35">
      <c r="A350" s="8" t="s">
        <v>32</v>
      </c>
      <c r="B350" s="9">
        <v>0.64</v>
      </c>
      <c r="C350" s="9">
        <v>3.84</v>
      </c>
      <c r="D350" s="5">
        <f t="shared" si="5"/>
        <v>0.16666666666666669</v>
      </c>
    </row>
    <row r="351" spans="1:4" ht="16" x14ac:dyDescent="0.35">
      <c r="A351" s="8" t="s">
        <v>430</v>
      </c>
      <c r="B351" s="9">
        <v>0.21</v>
      </c>
      <c r="C351" s="9">
        <v>3.84</v>
      </c>
      <c r="D351" s="5">
        <f t="shared" si="5"/>
        <v>5.46875E-2</v>
      </c>
    </row>
    <row r="352" spans="1:4" ht="16" x14ac:dyDescent="0.35">
      <c r="A352" s="8" t="s">
        <v>99</v>
      </c>
      <c r="B352" s="9">
        <v>1.03</v>
      </c>
      <c r="C352" s="9">
        <v>3.83</v>
      </c>
      <c r="D352" s="5">
        <f t="shared" si="5"/>
        <v>0.2689295039164491</v>
      </c>
    </row>
    <row r="353" spans="1:4" ht="16" x14ac:dyDescent="0.35">
      <c r="A353" s="8" t="s">
        <v>390</v>
      </c>
      <c r="B353" s="9">
        <v>0.59</v>
      </c>
      <c r="C353" s="9">
        <v>3.79</v>
      </c>
      <c r="D353" s="5">
        <f t="shared" si="5"/>
        <v>0.15567282321899736</v>
      </c>
    </row>
    <row r="354" spans="1:4" ht="16" x14ac:dyDescent="0.35">
      <c r="A354" s="8" t="s">
        <v>452</v>
      </c>
      <c r="B354" s="9">
        <v>1.47</v>
      </c>
      <c r="C354" s="9">
        <v>3.78</v>
      </c>
      <c r="D354" s="5">
        <f t="shared" si="5"/>
        <v>0.3888888888888889</v>
      </c>
    </row>
    <row r="355" spans="1:4" ht="16" x14ac:dyDescent="0.35">
      <c r="A355" s="8" t="s">
        <v>418</v>
      </c>
      <c r="B355" s="9">
        <v>0.38</v>
      </c>
      <c r="C355" s="9">
        <v>3.78</v>
      </c>
      <c r="D355" s="5">
        <f t="shared" si="5"/>
        <v>0.10052910052910054</v>
      </c>
    </row>
    <row r="356" spans="1:4" ht="16" x14ac:dyDescent="0.35">
      <c r="A356" s="8" t="s">
        <v>100</v>
      </c>
      <c r="B356" s="9">
        <v>1.18</v>
      </c>
      <c r="C356" s="9">
        <v>3.77</v>
      </c>
      <c r="D356" s="5">
        <f t="shared" si="5"/>
        <v>0.3129973474801061</v>
      </c>
    </row>
    <row r="357" spans="1:4" ht="16" x14ac:dyDescent="0.35">
      <c r="A357" s="8" t="s">
        <v>23</v>
      </c>
      <c r="B357" s="9">
        <v>1.1100000000000001</v>
      </c>
      <c r="C357" s="9">
        <v>3.75</v>
      </c>
      <c r="D357" s="5">
        <f t="shared" si="5"/>
        <v>0.29600000000000004</v>
      </c>
    </row>
    <row r="358" spans="1:4" ht="16" x14ac:dyDescent="0.35">
      <c r="A358" s="8" t="s">
        <v>482</v>
      </c>
      <c r="B358" s="9">
        <v>0.36</v>
      </c>
      <c r="C358" s="9">
        <v>3.75</v>
      </c>
      <c r="D358" s="5">
        <f t="shared" si="5"/>
        <v>9.6000000000000002E-2</v>
      </c>
    </row>
    <row r="359" spans="1:4" ht="16" x14ac:dyDescent="0.35">
      <c r="A359" s="8" t="s">
        <v>130</v>
      </c>
      <c r="B359" s="9">
        <v>0.19</v>
      </c>
      <c r="C359" s="9">
        <v>3.74</v>
      </c>
      <c r="D359" s="5">
        <f t="shared" si="5"/>
        <v>5.080213903743315E-2</v>
      </c>
    </row>
    <row r="360" spans="1:4" ht="16" x14ac:dyDescent="0.35">
      <c r="A360" s="8" t="s">
        <v>53</v>
      </c>
      <c r="B360" s="9">
        <v>0.39</v>
      </c>
      <c r="C360" s="9">
        <v>3.73</v>
      </c>
      <c r="D360" s="5">
        <f t="shared" si="5"/>
        <v>0.10455764075067024</v>
      </c>
    </row>
    <row r="361" spans="1:4" ht="16" x14ac:dyDescent="0.35">
      <c r="A361" s="8" t="s">
        <v>146</v>
      </c>
      <c r="B361" s="9">
        <v>0.95</v>
      </c>
      <c r="C361" s="9">
        <v>3.72</v>
      </c>
      <c r="D361" s="5">
        <f t="shared" si="5"/>
        <v>0.2553763440860215</v>
      </c>
    </row>
    <row r="362" spans="1:4" ht="16" x14ac:dyDescent="0.35">
      <c r="A362" s="8" t="s">
        <v>31</v>
      </c>
      <c r="B362" s="9">
        <v>0.65</v>
      </c>
      <c r="C362" s="9">
        <v>3.71</v>
      </c>
      <c r="D362" s="5">
        <f t="shared" si="5"/>
        <v>0.17520215633423181</v>
      </c>
    </row>
    <row r="363" spans="1:4" ht="16" x14ac:dyDescent="0.35">
      <c r="A363" s="8" t="s">
        <v>16</v>
      </c>
      <c r="B363" s="9">
        <v>1.4</v>
      </c>
      <c r="C363" s="9">
        <v>3.7</v>
      </c>
      <c r="D363" s="5">
        <f t="shared" si="5"/>
        <v>0.37837837837837834</v>
      </c>
    </row>
    <row r="364" spans="1:4" ht="16" x14ac:dyDescent="0.35">
      <c r="A364" s="8" t="s">
        <v>164</v>
      </c>
      <c r="B364" s="9">
        <v>0.23</v>
      </c>
      <c r="C364" s="9">
        <v>3.67</v>
      </c>
      <c r="D364" s="5">
        <f t="shared" si="5"/>
        <v>6.2670299727520445E-2</v>
      </c>
    </row>
    <row r="365" spans="1:4" ht="16" x14ac:dyDescent="0.35">
      <c r="A365" s="8" t="s">
        <v>482</v>
      </c>
      <c r="B365" s="9">
        <v>1.61</v>
      </c>
      <c r="C365" s="9">
        <v>3.65</v>
      </c>
      <c r="D365" s="5">
        <f t="shared" si="5"/>
        <v>0.44109589041095892</v>
      </c>
    </row>
    <row r="366" spans="1:4" ht="16" x14ac:dyDescent="0.35">
      <c r="A366" s="8" t="s">
        <v>395</v>
      </c>
      <c r="B366" s="9">
        <v>1.04</v>
      </c>
      <c r="C366" s="9">
        <v>3.62</v>
      </c>
      <c r="D366" s="5">
        <f t="shared" si="5"/>
        <v>0.287292817679558</v>
      </c>
    </row>
    <row r="367" spans="1:4" ht="16" x14ac:dyDescent="0.35">
      <c r="A367" s="8" t="s">
        <v>503</v>
      </c>
      <c r="B367" s="9">
        <v>0.65</v>
      </c>
      <c r="C367" s="9">
        <v>3.62</v>
      </c>
      <c r="D367" s="5">
        <f t="shared" si="5"/>
        <v>0.17955801104972377</v>
      </c>
    </row>
    <row r="368" spans="1:4" ht="16" x14ac:dyDescent="0.35">
      <c r="A368" s="8" t="s">
        <v>37</v>
      </c>
      <c r="B368" s="9">
        <v>0.42</v>
      </c>
      <c r="C368" s="9">
        <v>3.61</v>
      </c>
      <c r="D368" s="5">
        <f t="shared" si="5"/>
        <v>0.11634349030470914</v>
      </c>
    </row>
    <row r="369" spans="1:4" ht="16" x14ac:dyDescent="0.35">
      <c r="A369" s="8" t="s">
        <v>180</v>
      </c>
      <c r="B369" s="9">
        <v>1.33</v>
      </c>
      <c r="C369" s="9">
        <v>3.59</v>
      </c>
      <c r="D369" s="5">
        <f t="shared" si="5"/>
        <v>0.37047353760445684</v>
      </c>
    </row>
    <row r="370" spans="1:4" ht="16" x14ac:dyDescent="0.35">
      <c r="A370" s="8" t="s">
        <v>445</v>
      </c>
      <c r="B370" s="9">
        <v>0.75</v>
      </c>
      <c r="C370" s="9">
        <v>3.59</v>
      </c>
      <c r="D370" s="5">
        <f t="shared" si="5"/>
        <v>0.20891364902506965</v>
      </c>
    </row>
    <row r="371" spans="1:4" ht="16" x14ac:dyDescent="0.35">
      <c r="A371" s="8" t="s">
        <v>207</v>
      </c>
      <c r="B371" s="9">
        <v>0.13</v>
      </c>
      <c r="C371" s="9">
        <v>3.59</v>
      </c>
      <c r="D371" s="5">
        <f t="shared" si="5"/>
        <v>3.6211699164345405E-2</v>
      </c>
    </row>
    <row r="372" spans="1:4" ht="16" x14ac:dyDescent="0.35">
      <c r="A372" s="8" t="s">
        <v>119</v>
      </c>
      <c r="B372" s="9">
        <v>1.42</v>
      </c>
      <c r="C372" s="9">
        <v>3.58</v>
      </c>
      <c r="D372" s="5">
        <f t="shared" si="5"/>
        <v>0.3966480446927374</v>
      </c>
    </row>
    <row r="373" spans="1:4" ht="16" x14ac:dyDescent="0.35">
      <c r="A373" s="8" t="s">
        <v>92</v>
      </c>
      <c r="B373" s="9">
        <v>0.69</v>
      </c>
      <c r="C373" s="9">
        <v>3.57</v>
      </c>
      <c r="D373" s="5">
        <f t="shared" si="5"/>
        <v>0.19327731092436976</v>
      </c>
    </row>
    <row r="374" spans="1:4" ht="16" x14ac:dyDescent="0.35">
      <c r="A374" s="8" t="s">
        <v>320</v>
      </c>
      <c r="B374" s="9">
        <v>1.46</v>
      </c>
      <c r="C374" s="9">
        <v>3.54</v>
      </c>
      <c r="D374" s="5">
        <f t="shared" si="5"/>
        <v>0.41242937853107342</v>
      </c>
    </row>
    <row r="375" spans="1:4" ht="16" x14ac:dyDescent="0.35">
      <c r="A375" s="8" t="s">
        <v>319</v>
      </c>
      <c r="B375" s="10">
        <v>0</v>
      </c>
      <c r="C375" s="9">
        <v>3.54</v>
      </c>
      <c r="D375" s="5">
        <f t="shared" si="5"/>
        <v>0</v>
      </c>
    </row>
    <row r="376" spans="1:4" ht="16" x14ac:dyDescent="0.35">
      <c r="A376" s="8" t="s">
        <v>404</v>
      </c>
      <c r="B376" s="9">
        <v>1.1499999999999999</v>
      </c>
      <c r="C376" s="9">
        <v>3.53</v>
      </c>
      <c r="D376" s="5">
        <f t="shared" si="5"/>
        <v>0.32577903682719545</v>
      </c>
    </row>
    <row r="377" spans="1:4" ht="16" x14ac:dyDescent="0.35">
      <c r="A377" s="8" t="s">
        <v>254</v>
      </c>
      <c r="B377" s="10">
        <v>0</v>
      </c>
      <c r="C377" s="9">
        <v>3.51</v>
      </c>
      <c r="D377" s="5">
        <f t="shared" si="5"/>
        <v>0</v>
      </c>
    </row>
    <row r="378" spans="1:4" ht="16" x14ac:dyDescent="0.35">
      <c r="A378" s="8" t="s">
        <v>419</v>
      </c>
      <c r="B378" s="10">
        <v>0</v>
      </c>
      <c r="C378" s="9">
        <v>3.5</v>
      </c>
      <c r="D378" s="5">
        <f t="shared" si="5"/>
        <v>0</v>
      </c>
    </row>
    <row r="379" spans="1:4" ht="16" x14ac:dyDescent="0.35">
      <c r="A379" s="8" t="s">
        <v>455</v>
      </c>
      <c r="B379" s="10">
        <v>0</v>
      </c>
      <c r="C379" s="9">
        <v>3.5</v>
      </c>
      <c r="D379" s="5">
        <f t="shared" si="5"/>
        <v>0</v>
      </c>
    </row>
    <row r="380" spans="1:4" ht="16" x14ac:dyDescent="0.35">
      <c r="A380" s="8" t="s">
        <v>202</v>
      </c>
      <c r="B380" s="9">
        <v>0.95</v>
      </c>
      <c r="C380" s="9">
        <v>3.46</v>
      </c>
      <c r="D380" s="5">
        <f t="shared" si="5"/>
        <v>0.27456647398843931</v>
      </c>
    </row>
    <row r="381" spans="1:4" ht="16" x14ac:dyDescent="0.35">
      <c r="A381" s="8" t="s">
        <v>363</v>
      </c>
      <c r="B381" s="9">
        <v>0.18</v>
      </c>
      <c r="C381" s="9">
        <v>3.45</v>
      </c>
      <c r="D381" s="5">
        <f t="shared" si="5"/>
        <v>5.2173913043478258E-2</v>
      </c>
    </row>
    <row r="382" spans="1:4" ht="16" x14ac:dyDescent="0.35">
      <c r="A382" s="8" t="s">
        <v>38</v>
      </c>
      <c r="B382" s="9">
        <v>0.66</v>
      </c>
      <c r="C382" s="9">
        <v>3.42</v>
      </c>
      <c r="D382" s="5">
        <f t="shared" si="5"/>
        <v>0.19298245614035089</v>
      </c>
    </row>
    <row r="383" spans="1:4" ht="16" x14ac:dyDescent="0.35">
      <c r="A383" s="8" t="s">
        <v>29</v>
      </c>
      <c r="B383" s="9">
        <v>0.33</v>
      </c>
      <c r="C383" s="9">
        <v>3.4</v>
      </c>
      <c r="D383" s="5">
        <f t="shared" si="5"/>
        <v>9.7058823529411767E-2</v>
      </c>
    </row>
    <row r="384" spans="1:4" ht="16" x14ac:dyDescent="0.35">
      <c r="A384" s="8" t="s">
        <v>140</v>
      </c>
      <c r="B384" s="9">
        <v>1.57</v>
      </c>
      <c r="C384" s="9">
        <v>3.39</v>
      </c>
      <c r="D384" s="5">
        <f t="shared" si="5"/>
        <v>0.46312684365781709</v>
      </c>
    </row>
    <row r="385" spans="1:4" ht="16" x14ac:dyDescent="0.35">
      <c r="A385" s="8" t="s">
        <v>323</v>
      </c>
      <c r="B385" s="9">
        <v>0.66</v>
      </c>
      <c r="C385" s="9">
        <v>3.36</v>
      </c>
      <c r="D385" s="5">
        <f t="shared" si="5"/>
        <v>0.19642857142857145</v>
      </c>
    </row>
    <row r="386" spans="1:4" ht="16" x14ac:dyDescent="0.35">
      <c r="A386" s="8" t="s">
        <v>258</v>
      </c>
      <c r="B386" s="9">
        <v>0.98</v>
      </c>
      <c r="C386" s="9">
        <v>3.35</v>
      </c>
      <c r="D386" s="5">
        <f t="shared" ref="D386:D449" si="6">B386/C386</f>
        <v>0.29253731343283579</v>
      </c>
    </row>
    <row r="387" spans="1:4" ht="16" x14ac:dyDescent="0.35">
      <c r="A387" s="8" t="s">
        <v>307</v>
      </c>
      <c r="B387" s="9">
        <v>1.37</v>
      </c>
      <c r="C387" s="9">
        <v>3.34</v>
      </c>
      <c r="D387" s="5">
        <f t="shared" si="6"/>
        <v>0.41017964071856294</v>
      </c>
    </row>
    <row r="388" spans="1:4" ht="16" x14ac:dyDescent="0.35">
      <c r="A388" s="8" t="s">
        <v>134</v>
      </c>
      <c r="B388" s="9">
        <v>0.88</v>
      </c>
      <c r="C388" s="9">
        <v>3.33</v>
      </c>
      <c r="D388" s="5">
        <f t="shared" si="6"/>
        <v>0.26426426426426425</v>
      </c>
    </row>
    <row r="389" spans="1:4" ht="16" x14ac:dyDescent="0.35">
      <c r="A389" s="8" t="s">
        <v>433</v>
      </c>
      <c r="B389" s="9">
        <v>0.08</v>
      </c>
      <c r="C389" s="9">
        <v>3.33</v>
      </c>
      <c r="D389" s="5">
        <f t="shared" si="6"/>
        <v>2.4024024024024024E-2</v>
      </c>
    </row>
    <row r="390" spans="1:4" ht="16" x14ac:dyDescent="0.35">
      <c r="A390" s="8" t="s">
        <v>423</v>
      </c>
      <c r="B390" s="9">
        <v>0.84</v>
      </c>
      <c r="C390" s="9">
        <v>3.32</v>
      </c>
      <c r="D390" s="5">
        <f t="shared" si="6"/>
        <v>0.25301204819277107</v>
      </c>
    </row>
    <row r="391" spans="1:4" ht="16" x14ac:dyDescent="0.35">
      <c r="A391" s="8" t="s">
        <v>527</v>
      </c>
      <c r="B391" s="9">
        <v>0.45</v>
      </c>
      <c r="C391" s="9">
        <v>3.31</v>
      </c>
      <c r="D391" s="5">
        <f t="shared" si="6"/>
        <v>0.13595166163141995</v>
      </c>
    </row>
    <row r="392" spans="1:4" ht="16" x14ac:dyDescent="0.35">
      <c r="A392" s="8" t="s">
        <v>350</v>
      </c>
      <c r="B392" s="9">
        <v>0.71</v>
      </c>
      <c r="C392" s="9">
        <v>3.3</v>
      </c>
      <c r="D392" s="5">
        <f t="shared" si="6"/>
        <v>0.21515151515151515</v>
      </c>
    </row>
    <row r="393" spans="1:4" ht="16" x14ac:dyDescent="0.35">
      <c r="A393" s="8" t="s">
        <v>471</v>
      </c>
      <c r="B393" s="9">
        <v>1.61</v>
      </c>
      <c r="C393" s="9">
        <v>3.29</v>
      </c>
      <c r="D393" s="5">
        <f t="shared" si="6"/>
        <v>0.48936170212765961</v>
      </c>
    </row>
    <row r="394" spans="1:4" ht="16" x14ac:dyDescent="0.35">
      <c r="A394" s="8" t="s">
        <v>501</v>
      </c>
      <c r="B394" s="9">
        <v>0.31</v>
      </c>
      <c r="C394" s="9">
        <v>3.26</v>
      </c>
      <c r="D394" s="5">
        <f t="shared" si="6"/>
        <v>9.5092024539877307E-2</v>
      </c>
    </row>
    <row r="395" spans="1:4" ht="16" x14ac:dyDescent="0.35">
      <c r="A395" s="8" t="s">
        <v>335</v>
      </c>
      <c r="B395" s="9">
        <v>1.38</v>
      </c>
      <c r="C395" s="9">
        <v>3.24</v>
      </c>
      <c r="D395" s="5">
        <f t="shared" si="6"/>
        <v>0.42592592592592587</v>
      </c>
    </row>
    <row r="396" spans="1:4" ht="16" x14ac:dyDescent="0.35">
      <c r="A396" s="8" t="s">
        <v>521</v>
      </c>
      <c r="B396" s="10">
        <v>0</v>
      </c>
      <c r="C396" s="9">
        <v>3.23</v>
      </c>
      <c r="D396" s="5">
        <f t="shared" si="6"/>
        <v>0</v>
      </c>
    </row>
    <row r="397" spans="1:4" ht="16" x14ac:dyDescent="0.35">
      <c r="A397" s="8" t="s">
        <v>273</v>
      </c>
      <c r="B397" s="9">
        <v>0.96</v>
      </c>
      <c r="C397" s="9">
        <v>3.2</v>
      </c>
      <c r="D397" s="5">
        <f t="shared" si="6"/>
        <v>0.3</v>
      </c>
    </row>
    <row r="398" spans="1:4" ht="16" x14ac:dyDescent="0.35">
      <c r="A398" s="8" t="s">
        <v>17</v>
      </c>
      <c r="B398" s="9">
        <v>0.6</v>
      </c>
      <c r="C398" s="9">
        <v>3.2</v>
      </c>
      <c r="D398" s="5">
        <f t="shared" si="6"/>
        <v>0.18749999999999997</v>
      </c>
    </row>
    <row r="399" spans="1:4" ht="16" x14ac:dyDescent="0.35">
      <c r="A399" s="8" t="s">
        <v>106</v>
      </c>
      <c r="B399" s="9">
        <v>0.78</v>
      </c>
      <c r="C399" s="9">
        <v>3.19</v>
      </c>
      <c r="D399" s="5">
        <f t="shared" si="6"/>
        <v>0.2445141065830721</v>
      </c>
    </row>
    <row r="400" spans="1:4" ht="16" x14ac:dyDescent="0.35">
      <c r="A400" s="8" t="s">
        <v>381</v>
      </c>
      <c r="B400" s="9">
        <v>1.4</v>
      </c>
      <c r="C400" s="9">
        <v>3.17</v>
      </c>
      <c r="D400" s="5">
        <f t="shared" si="6"/>
        <v>0.44164037854889587</v>
      </c>
    </row>
    <row r="401" spans="1:4" ht="16" x14ac:dyDescent="0.35">
      <c r="A401" s="8" t="s">
        <v>133</v>
      </c>
      <c r="B401" s="9">
        <v>0.64</v>
      </c>
      <c r="C401" s="9">
        <v>3.17</v>
      </c>
      <c r="D401" s="5">
        <f t="shared" si="6"/>
        <v>0.20189274447949529</v>
      </c>
    </row>
    <row r="402" spans="1:4" ht="16" x14ac:dyDescent="0.35">
      <c r="A402" s="8" t="s">
        <v>488</v>
      </c>
      <c r="B402" s="9">
        <v>0.95</v>
      </c>
      <c r="C402" s="9">
        <v>3.16</v>
      </c>
      <c r="D402" s="5">
        <f t="shared" si="6"/>
        <v>0.30063291139240506</v>
      </c>
    </row>
    <row r="403" spans="1:4" ht="16" x14ac:dyDescent="0.35">
      <c r="A403" s="8" t="s">
        <v>451</v>
      </c>
      <c r="B403" s="9">
        <v>1.58</v>
      </c>
      <c r="C403" s="9">
        <v>3.14</v>
      </c>
      <c r="D403" s="5">
        <f t="shared" si="6"/>
        <v>0.50318471337579618</v>
      </c>
    </row>
    <row r="404" spans="1:4" ht="16" x14ac:dyDescent="0.35">
      <c r="A404" s="8" t="s">
        <v>523</v>
      </c>
      <c r="B404" s="9">
        <v>0.81</v>
      </c>
      <c r="C404" s="9">
        <v>3.13</v>
      </c>
      <c r="D404" s="5">
        <f t="shared" si="6"/>
        <v>0.25878594249201281</v>
      </c>
    </row>
    <row r="405" spans="1:4" ht="16" x14ac:dyDescent="0.35">
      <c r="A405" s="8" t="s">
        <v>93</v>
      </c>
      <c r="B405" s="9">
        <v>0.79</v>
      </c>
      <c r="C405" s="9">
        <v>3.13</v>
      </c>
      <c r="D405" s="5">
        <f t="shared" si="6"/>
        <v>0.25239616613418531</v>
      </c>
    </row>
    <row r="406" spans="1:4" ht="16" x14ac:dyDescent="0.35">
      <c r="A406" s="8" t="s">
        <v>28</v>
      </c>
      <c r="B406" s="9">
        <v>0.62</v>
      </c>
      <c r="C406" s="9">
        <v>3.13</v>
      </c>
      <c r="D406" s="5">
        <f t="shared" si="6"/>
        <v>0.19808306709265175</v>
      </c>
    </row>
    <row r="407" spans="1:4" ht="16" x14ac:dyDescent="0.35">
      <c r="A407" s="8" t="s">
        <v>393</v>
      </c>
      <c r="B407" s="9">
        <v>0.34</v>
      </c>
      <c r="C407" s="9">
        <v>3.13</v>
      </c>
      <c r="D407" s="5">
        <f t="shared" si="6"/>
        <v>0.1086261980830671</v>
      </c>
    </row>
    <row r="408" spans="1:4" ht="16" x14ac:dyDescent="0.35">
      <c r="A408" s="8" t="s">
        <v>498</v>
      </c>
      <c r="B408" s="10">
        <v>1</v>
      </c>
      <c r="C408" s="9">
        <v>3.12</v>
      </c>
      <c r="D408" s="5">
        <f t="shared" si="6"/>
        <v>0.32051282051282048</v>
      </c>
    </row>
    <row r="409" spans="1:4" ht="16" x14ac:dyDescent="0.35">
      <c r="A409" s="8" t="s">
        <v>491</v>
      </c>
      <c r="B409" s="9">
        <v>0.77</v>
      </c>
      <c r="C409" s="9">
        <v>3.11</v>
      </c>
      <c r="D409" s="5">
        <f t="shared" si="6"/>
        <v>0.24758842443729906</v>
      </c>
    </row>
    <row r="410" spans="1:4" ht="16" x14ac:dyDescent="0.35">
      <c r="A410" s="8" t="s">
        <v>548</v>
      </c>
      <c r="B410" s="9">
        <v>0.72</v>
      </c>
      <c r="C410" s="9">
        <v>3.11</v>
      </c>
      <c r="D410" s="5">
        <f t="shared" si="6"/>
        <v>0.23151125401929259</v>
      </c>
    </row>
    <row r="411" spans="1:4" ht="16" x14ac:dyDescent="0.35">
      <c r="A411" s="8" t="s">
        <v>440</v>
      </c>
      <c r="B411" s="9">
        <v>0.54</v>
      </c>
      <c r="C411" s="9">
        <v>3.1</v>
      </c>
      <c r="D411" s="5">
        <f t="shared" si="6"/>
        <v>0.17419354838709677</v>
      </c>
    </row>
    <row r="412" spans="1:4" ht="16" x14ac:dyDescent="0.35">
      <c r="A412" s="8" t="s">
        <v>312</v>
      </c>
      <c r="B412" s="9">
        <v>0.78</v>
      </c>
      <c r="C412" s="9">
        <v>3.09</v>
      </c>
      <c r="D412" s="5">
        <f t="shared" si="6"/>
        <v>0.25242718446601942</v>
      </c>
    </row>
    <row r="413" spans="1:4" ht="16" x14ac:dyDescent="0.35">
      <c r="A413" s="8" t="s">
        <v>462</v>
      </c>
      <c r="B413" s="9">
        <v>0.32</v>
      </c>
      <c r="C413" s="9">
        <v>3.08</v>
      </c>
      <c r="D413" s="5">
        <f t="shared" si="6"/>
        <v>0.10389610389610389</v>
      </c>
    </row>
    <row r="414" spans="1:4" ht="16" x14ac:dyDescent="0.35">
      <c r="A414" s="8" t="s">
        <v>30</v>
      </c>
      <c r="B414" s="9">
        <v>1.21</v>
      </c>
      <c r="C414" s="9">
        <v>3.06</v>
      </c>
      <c r="D414" s="5">
        <f t="shared" si="6"/>
        <v>0.39542483660130717</v>
      </c>
    </row>
    <row r="415" spans="1:4" ht="16" x14ac:dyDescent="0.35">
      <c r="A415" s="8" t="s">
        <v>27</v>
      </c>
      <c r="B415" s="10">
        <v>0</v>
      </c>
      <c r="C415" s="9">
        <v>3.06</v>
      </c>
      <c r="D415" s="5">
        <f t="shared" si="6"/>
        <v>0</v>
      </c>
    </row>
    <row r="416" spans="1:4" ht="16" x14ac:dyDescent="0.35">
      <c r="A416" s="8" t="s">
        <v>361</v>
      </c>
      <c r="B416" s="9">
        <v>0.82</v>
      </c>
      <c r="C416" s="9">
        <v>3.04</v>
      </c>
      <c r="D416" s="5">
        <f t="shared" si="6"/>
        <v>0.26973684210526316</v>
      </c>
    </row>
    <row r="417" spans="1:4" ht="16" x14ac:dyDescent="0.35">
      <c r="A417" s="8" t="s">
        <v>387</v>
      </c>
      <c r="B417" s="9">
        <v>1.04</v>
      </c>
      <c r="C417" s="10">
        <v>3</v>
      </c>
      <c r="D417" s="5">
        <f t="shared" si="6"/>
        <v>0.34666666666666668</v>
      </c>
    </row>
    <row r="418" spans="1:4" ht="16" x14ac:dyDescent="0.35">
      <c r="A418" s="8" t="s">
        <v>355</v>
      </c>
      <c r="B418" s="9">
        <v>1.02</v>
      </c>
      <c r="C418" s="9">
        <v>2.99</v>
      </c>
      <c r="D418" s="5">
        <f t="shared" si="6"/>
        <v>0.34113712374581939</v>
      </c>
    </row>
    <row r="419" spans="1:4" ht="16" x14ac:dyDescent="0.35">
      <c r="A419" s="8" t="s">
        <v>18</v>
      </c>
      <c r="B419" s="9">
        <v>0.54</v>
      </c>
      <c r="C419" s="9">
        <v>2.98</v>
      </c>
      <c r="D419" s="5">
        <f t="shared" si="6"/>
        <v>0.18120805369127518</v>
      </c>
    </row>
    <row r="420" spans="1:4" ht="16" x14ac:dyDescent="0.35">
      <c r="A420" s="8" t="s">
        <v>365</v>
      </c>
      <c r="B420" s="9">
        <v>0.52</v>
      </c>
      <c r="C420" s="9">
        <v>2.98</v>
      </c>
      <c r="D420" s="5">
        <f t="shared" si="6"/>
        <v>0.17449664429530201</v>
      </c>
    </row>
    <row r="421" spans="1:4" ht="16" x14ac:dyDescent="0.35">
      <c r="A421" s="8" t="s">
        <v>239</v>
      </c>
      <c r="B421" s="9">
        <v>0.72</v>
      </c>
      <c r="C421" s="9">
        <v>2.97</v>
      </c>
      <c r="D421" s="5">
        <f t="shared" si="6"/>
        <v>0.2424242424242424</v>
      </c>
    </row>
    <row r="422" spans="1:4" ht="16" x14ac:dyDescent="0.35">
      <c r="A422" s="8" t="s">
        <v>294</v>
      </c>
      <c r="B422" s="9">
        <v>1.46</v>
      </c>
      <c r="C422" s="9">
        <v>2.96</v>
      </c>
      <c r="D422" s="5">
        <f t="shared" si="6"/>
        <v>0.49324324324324326</v>
      </c>
    </row>
    <row r="423" spans="1:4" ht="16" x14ac:dyDescent="0.35">
      <c r="A423" s="8" t="s">
        <v>427</v>
      </c>
      <c r="B423" s="9">
        <v>1.29</v>
      </c>
      <c r="C423" s="9">
        <v>2.9</v>
      </c>
      <c r="D423" s="5">
        <f t="shared" si="6"/>
        <v>0.44482758620689655</v>
      </c>
    </row>
    <row r="424" spans="1:4" ht="16" x14ac:dyDescent="0.35">
      <c r="A424" s="8" t="s">
        <v>162</v>
      </c>
      <c r="B424" s="9">
        <v>0.23</v>
      </c>
      <c r="C424" s="9">
        <v>2.9</v>
      </c>
      <c r="D424" s="5">
        <f t="shared" si="6"/>
        <v>7.9310344827586213E-2</v>
      </c>
    </row>
    <row r="425" spans="1:4" ht="16" x14ac:dyDescent="0.35">
      <c r="A425" s="8" t="s">
        <v>519</v>
      </c>
      <c r="B425" s="9">
        <v>0.17</v>
      </c>
      <c r="C425" s="9">
        <v>2.88</v>
      </c>
      <c r="D425" s="5">
        <f t="shared" si="6"/>
        <v>5.9027777777777783E-2</v>
      </c>
    </row>
    <row r="426" spans="1:4" ht="16" x14ac:dyDescent="0.35">
      <c r="A426" s="8" t="s">
        <v>457</v>
      </c>
      <c r="B426" s="9">
        <v>0.3</v>
      </c>
      <c r="C426" s="9">
        <v>2.87</v>
      </c>
      <c r="D426" s="5">
        <f t="shared" si="6"/>
        <v>0.10452961672473866</v>
      </c>
    </row>
    <row r="427" spans="1:4" ht="16" x14ac:dyDescent="0.35">
      <c r="A427" s="8" t="s">
        <v>417</v>
      </c>
      <c r="B427" s="10">
        <v>0</v>
      </c>
      <c r="C427" s="9">
        <v>2.86</v>
      </c>
      <c r="D427" s="5">
        <f t="shared" si="6"/>
        <v>0</v>
      </c>
    </row>
    <row r="428" spans="1:4" ht="16" x14ac:dyDescent="0.35">
      <c r="A428" s="8" t="s">
        <v>543</v>
      </c>
      <c r="B428" s="9">
        <v>0.75</v>
      </c>
      <c r="C428" s="9">
        <v>2.85</v>
      </c>
      <c r="D428" s="5">
        <f t="shared" si="6"/>
        <v>0.26315789473684209</v>
      </c>
    </row>
    <row r="429" spans="1:4" ht="16" x14ac:dyDescent="0.35">
      <c r="A429" s="8" t="s">
        <v>12</v>
      </c>
      <c r="B429" s="9">
        <v>0.74</v>
      </c>
      <c r="C429" s="9">
        <v>2.85</v>
      </c>
      <c r="D429" s="5">
        <f t="shared" si="6"/>
        <v>0.25964912280701752</v>
      </c>
    </row>
    <row r="430" spans="1:4" ht="16" x14ac:dyDescent="0.35">
      <c r="A430" s="8" t="s">
        <v>358</v>
      </c>
      <c r="B430" s="9">
        <v>1.3</v>
      </c>
      <c r="C430" s="9">
        <v>2.8</v>
      </c>
      <c r="D430" s="5">
        <f t="shared" si="6"/>
        <v>0.46428571428571436</v>
      </c>
    </row>
    <row r="431" spans="1:4" ht="16" x14ac:dyDescent="0.35">
      <c r="A431" s="8" t="s">
        <v>9</v>
      </c>
      <c r="B431" s="9">
        <v>1.17</v>
      </c>
      <c r="C431" s="9">
        <v>2.8</v>
      </c>
      <c r="D431" s="5">
        <f t="shared" si="6"/>
        <v>0.41785714285714287</v>
      </c>
    </row>
    <row r="432" spans="1:4" ht="16" x14ac:dyDescent="0.35">
      <c r="A432" s="8" t="s">
        <v>234</v>
      </c>
      <c r="B432" s="9">
        <v>0.25</v>
      </c>
      <c r="C432" s="9">
        <v>2.8</v>
      </c>
      <c r="D432" s="5">
        <f t="shared" si="6"/>
        <v>8.9285714285714288E-2</v>
      </c>
    </row>
    <row r="433" spans="1:4" ht="16" x14ac:dyDescent="0.35">
      <c r="A433" s="8" t="s">
        <v>398</v>
      </c>
      <c r="B433" s="10">
        <v>0</v>
      </c>
      <c r="C433" s="9">
        <v>2.8</v>
      </c>
      <c r="D433" s="5">
        <f t="shared" si="6"/>
        <v>0</v>
      </c>
    </row>
    <row r="434" spans="1:4" ht="16" x14ac:dyDescent="0.35">
      <c r="A434" s="8" t="s">
        <v>473</v>
      </c>
      <c r="B434" s="9">
        <v>0.44</v>
      </c>
      <c r="C434" s="9">
        <v>2.79</v>
      </c>
      <c r="D434" s="5">
        <f t="shared" si="6"/>
        <v>0.15770609318996415</v>
      </c>
    </row>
    <row r="435" spans="1:4" ht="16" x14ac:dyDescent="0.35">
      <c r="A435" s="8" t="s">
        <v>120</v>
      </c>
      <c r="B435" s="9">
        <v>0.32</v>
      </c>
      <c r="C435" s="9">
        <v>2.79</v>
      </c>
      <c r="D435" s="5">
        <f t="shared" si="6"/>
        <v>0.11469534050179211</v>
      </c>
    </row>
    <row r="436" spans="1:4" ht="16" x14ac:dyDescent="0.35">
      <c r="A436" s="8" t="s">
        <v>126</v>
      </c>
      <c r="B436" s="9">
        <v>2.78</v>
      </c>
      <c r="C436" s="9">
        <v>2.78</v>
      </c>
      <c r="D436" s="5">
        <f t="shared" si="6"/>
        <v>1</v>
      </c>
    </row>
    <row r="437" spans="1:4" ht="16" x14ac:dyDescent="0.35">
      <c r="A437" s="8" t="s">
        <v>451</v>
      </c>
      <c r="B437" s="9">
        <v>0.6</v>
      </c>
      <c r="C437" s="9">
        <v>2.78</v>
      </c>
      <c r="D437" s="5">
        <f t="shared" si="6"/>
        <v>0.21582733812949642</v>
      </c>
    </row>
    <row r="438" spans="1:4" ht="16" x14ac:dyDescent="0.35">
      <c r="A438" s="8" t="s">
        <v>200</v>
      </c>
      <c r="B438" s="9">
        <v>0.35</v>
      </c>
      <c r="C438" s="9">
        <v>2.75</v>
      </c>
      <c r="D438" s="5">
        <f t="shared" si="6"/>
        <v>0.12727272727272726</v>
      </c>
    </row>
    <row r="439" spans="1:4" ht="16" x14ac:dyDescent="0.35">
      <c r="A439" s="8" t="s">
        <v>85</v>
      </c>
      <c r="B439" s="9">
        <v>0.73</v>
      </c>
      <c r="C439" s="9">
        <v>2.74</v>
      </c>
      <c r="D439" s="5">
        <f t="shared" si="6"/>
        <v>0.26642335766423353</v>
      </c>
    </row>
    <row r="440" spans="1:4" ht="16" x14ac:dyDescent="0.35">
      <c r="A440" s="8" t="s">
        <v>189</v>
      </c>
      <c r="B440" s="9">
        <v>0.5</v>
      </c>
      <c r="C440" s="9">
        <v>2.74</v>
      </c>
      <c r="D440" s="5">
        <f t="shared" si="6"/>
        <v>0.18248175182481752</v>
      </c>
    </row>
    <row r="441" spans="1:4" ht="16" x14ac:dyDescent="0.35">
      <c r="A441" s="8" t="s">
        <v>209</v>
      </c>
      <c r="B441" s="9">
        <v>1.29</v>
      </c>
      <c r="C441" s="9">
        <v>2.73</v>
      </c>
      <c r="D441" s="5">
        <f t="shared" si="6"/>
        <v>0.47252747252747257</v>
      </c>
    </row>
    <row r="442" spans="1:4" ht="16" x14ac:dyDescent="0.35">
      <c r="A442" s="8" t="s">
        <v>171</v>
      </c>
      <c r="B442" s="9">
        <v>0.77</v>
      </c>
      <c r="C442" s="9">
        <v>2.73</v>
      </c>
      <c r="D442" s="5">
        <f t="shared" si="6"/>
        <v>0.28205128205128205</v>
      </c>
    </row>
    <row r="443" spans="1:4" ht="16" x14ac:dyDescent="0.35">
      <c r="A443" s="8" t="s">
        <v>415</v>
      </c>
      <c r="B443" s="9">
        <v>1.75</v>
      </c>
      <c r="C443" s="9">
        <v>2.72</v>
      </c>
      <c r="D443" s="5">
        <f t="shared" si="6"/>
        <v>0.64338235294117641</v>
      </c>
    </row>
    <row r="444" spans="1:4" ht="16" x14ac:dyDescent="0.35">
      <c r="A444" s="8" t="s">
        <v>119</v>
      </c>
      <c r="B444" s="9">
        <v>1.49</v>
      </c>
      <c r="C444" s="9">
        <v>2.7</v>
      </c>
      <c r="D444" s="5">
        <f t="shared" si="6"/>
        <v>0.55185185185185182</v>
      </c>
    </row>
    <row r="445" spans="1:4" ht="16" x14ac:dyDescent="0.35">
      <c r="A445" s="8" t="s">
        <v>378</v>
      </c>
      <c r="B445" s="10">
        <v>0</v>
      </c>
      <c r="C445" s="9">
        <v>2.69</v>
      </c>
      <c r="D445" s="5">
        <f t="shared" si="6"/>
        <v>0</v>
      </c>
    </row>
    <row r="446" spans="1:4" ht="16" x14ac:dyDescent="0.35">
      <c r="A446" s="8" t="s">
        <v>199</v>
      </c>
      <c r="B446" s="9">
        <v>0.51</v>
      </c>
      <c r="C446" s="9">
        <v>2.68</v>
      </c>
      <c r="D446" s="5">
        <f t="shared" si="6"/>
        <v>0.19029850746268656</v>
      </c>
    </row>
    <row r="447" spans="1:4" ht="16" x14ac:dyDescent="0.35">
      <c r="A447" s="8" t="s">
        <v>427</v>
      </c>
      <c r="B447" s="9">
        <v>0.21</v>
      </c>
      <c r="C447" s="9">
        <v>2.67</v>
      </c>
      <c r="D447" s="5">
        <f t="shared" si="6"/>
        <v>7.8651685393258425E-2</v>
      </c>
    </row>
    <row r="448" spans="1:4" ht="16" x14ac:dyDescent="0.35">
      <c r="A448" s="8" t="s">
        <v>401</v>
      </c>
      <c r="B448" s="9">
        <v>0.7</v>
      </c>
      <c r="C448" s="9">
        <v>2.66</v>
      </c>
      <c r="D448" s="5">
        <f t="shared" si="6"/>
        <v>0.26315789473684209</v>
      </c>
    </row>
    <row r="449" spans="1:4" ht="16" x14ac:dyDescent="0.35">
      <c r="A449" s="8" t="s">
        <v>132</v>
      </c>
      <c r="B449" s="9">
        <v>0.33</v>
      </c>
      <c r="C449" s="9">
        <v>2.66</v>
      </c>
      <c r="D449" s="5">
        <f t="shared" si="6"/>
        <v>0.12406015037593984</v>
      </c>
    </row>
    <row r="450" spans="1:4" ht="16" x14ac:dyDescent="0.35">
      <c r="A450" s="8" t="s">
        <v>461</v>
      </c>
      <c r="B450" s="9">
        <v>0.12</v>
      </c>
      <c r="C450" s="9">
        <v>2.63</v>
      </c>
      <c r="D450" s="5">
        <f t="shared" ref="D450:D513" si="7">B450/C450</f>
        <v>4.5627376425855515E-2</v>
      </c>
    </row>
    <row r="451" spans="1:4" ht="16" x14ac:dyDescent="0.35">
      <c r="A451" s="8" t="s">
        <v>281</v>
      </c>
      <c r="B451" s="9">
        <v>1.27</v>
      </c>
      <c r="C451" s="9">
        <v>2.61</v>
      </c>
      <c r="D451" s="5">
        <f t="shared" si="7"/>
        <v>0.4865900383141763</v>
      </c>
    </row>
    <row r="452" spans="1:4" ht="16" x14ac:dyDescent="0.35">
      <c r="A452" s="8" t="s">
        <v>217</v>
      </c>
      <c r="B452" s="9">
        <v>0.98</v>
      </c>
      <c r="C452" s="9">
        <v>2.6</v>
      </c>
      <c r="D452" s="5">
        <f t="shared" si="7"/>
        <v>0.37692307692307692</v>
      </c>
    </row>
    <row r="453" spans="1:4" ht="16" x14ac:dyDescent="0.35">
      <c r="A453" s="8" t="s">
        <v>226</v>
      </c>
      <c r="B453" s="9">
        <v>0.4</v>
      </c>
      <c r="C453" s="9">
        <v>2.6</v>
      </c>
      <c r="D453" s="5">
        <f t="shared" si="7"/>
        <v>0.15384615384615385</v>
      </c>
    </row>
    <row r="454" spans="1:4" ht="16" x14ac:dyDescent="0.35">
      <c r="A454" s="8" t="s">
        <v>68</v>
      </c>
      <c r="B454" s="9">
        <v>0.69</v>
      </c>
      <c r="C454" s="9">
        <v>2.58</v>
      </c>
      <c r="D454" s="5">
        <f t="shared" si="7"/>
        <v>0.26744186046511625</v>
      </c>
    </row>
    <row r="455" spans="1:4" ht="16" x14ac:dyDescent="0.35">
      <c r="A455" s="8" t="s">
        <v>255</v>
      </c>
      <c r="B455" s="9">
        <v>0.61</v>
      </c>
      <c r="C455" s="9">
        <v>2.58</v>
      </c>
      <c r="D455" s="5">
        <f t="shared" si="7"/>
        <v>0.23643410852713176</v>
      </c>
    </row>
    <row r="456" spans="1:4" ht="16" x14ac:dyDescent="0.35">
      <c r="A456" s="8" t="s">
        <v>329</v>
      </c>
      <c r="B456" s="9">
        <v>1.17</v>
      </c>
      <c r="C456" s="9">
        <v>2.57</v>
      </c>
      <c r="D456" s="5">
        <f t="shared" si="7"/>
        <v>0.45525291828793774</v>
      </c>
    </row>
    <row r="457" spans="1:4" ht="16" x14ac:dyDescent="0.35">
      <c r="A457" s="8" t="s">
        <v>467</v>
      </c>
      <c r="B457" s="9">
        <v>0.59</v>
      </c>
      <c r="C457" s="9">
        <v>2.57</v>
      </c>
      <c r="D457" s="5">
        <f t="shared" si="7"/>
        <v>0.22957198443579765</v>
      </c>
    </row>
    <row r="458" spans="1:4" ht="16" x14ac:dyDescent="0.35">
      <c r="A458" s="8" t="s">
        <v>144</v>
      </c>
      <c r="B458" s="9">
        <v>0.12</v>
      </c>
      <c r="C458" s="9">
        <v>2.56</v>
      </c>
      <c r="D458" s="5">
        <f t="shared" si="7"/>
        <v>4.6875E-2</v>
      </c>
    </row>
    <row r="459" spans="1:4" ht="16" x14ac:dyDescent="0.35">
      <c r="A459" s="8" t="s">
        <v>411</v>
      </c>
      <c r="B459" s="9">
        <v>0.11</v>
      </c>
      <c r="C459" s="9">
        <v>2.5499999999999998</v>
      </c>
      <c r="D459" s="5">
        <f t="shared" si="7"/>
        <v>4.3137254901960791E-2</v>
      </c>
    </row>
    <row r="460" spans="1:4" ht="16" x14ac:dyDescent="0.35">
      <c r="A460" s="8" t="s">
        <v>40</v>
      </c>
      <c r="B460" s="9">
        <v>0.11</v>
      </c>
      <c r="C460" s="9">
        <v>2.5499999999999998</v>
      </c>
      <c r="D460" s="5">
        <f t="shared" si="7"/>
        <v>4.3137254901960791E-2</v>
      </c>
    </row>
    <row r="461" spans="1:4" ht="16" x14ac:dyDescent="0.35">
      <c r="A461" s="8" t="s">
        <v>390</v>
      </c>
      <c r="B461" s="9">
        <v>0.56999999999999995</v>
      </c>
      <c r="C461" s="9">
        <v>2.5299999999999998</v>
      </c>
      <c r="D461" s="5">
        <f t="shared" si="7"/>
        <v>0.22529644268774704</v>
      </c>
    </row>
    <row r="462" spans="1:4" ht="16" x14ac:dyDescent="0.35">
      <c r="A462" s="8" t="s">
        <v>170</v>
      </c>
      <c r="B462" s="9">
        <v>1.26</v>
      </c>
      <c r="C462" s="9">
        <v>2.5099999999999998</v>
      </c>
      <c r="D462" s="5">
        <f t="shared" si="7"/>
        <v>0.50199203187250996</v>
      </c>
    </row>
    <row r="463" spans="1:4" ht="16" x14ac:dyDescent="0.35">
      <c r="A463" s="8" t="s">
        <v>131</v>
      </c>
      <c r="B463" s="9">
        <v>1.03</v>
      </c>
      <c r="C463" s="9">
        <v>2.5099999999999998</v>
      </c>
      <c r="D463" s="5">
        <f t="shared" si="7"/>
        <v>0.41035856573705182</v>
      </c>
    </row>
    <row r="464" spans="1:4" ht="16" x14ac:dyDescent="0.35">
      <c r="A464" s="8" t="s">
        <v>2</v>
      </c>
      <c r="B464" s="9">
        <v>0.49</v>
      </c>
      <c r="C464" s="9">
        <v>2.5099999999999998</v>
      </c>
      <c r="D464" s="5">
        <f t="shared" si="7"/>
        <v>0.19521912350597612</v>
      </c>
    </row>
    <row r="465" spans="1:4" ht="16" x14ac:dyDescent="0.35">
      <c r="A465" s="8" t="s">
        <v>410</v>
      </c>
      <c r="B465" s="9">
        <v>0.49</v>
      </c>
      <c r="C465" s="9">
        <v>2.4900000000000002</v>
      </c>
      <c r="D465" s="5">
        <f t="shared" si="7"/>
        <v>0.19678714859437749</v>
      </c>
    </row>
    <row r="466" spans="1:4" ht="16" x14ac:dyDescent="0.35">
      <c r="A466" s="8" t="s">
        <v>4</v>
      </c>
      <c r="B466" s="9">
        <v>0.48</v>
      </c>
      <c r="C466" s="9">
        <v>2.4900000000000002</v>
      </c>
      <c r="D466" s="5">
        <f t="shared" si="7"/>
        <v>0.19277108433734938</v>
      </c>
    </row>
    <row r="467" spans="1:4" ht="16" x14ac:dyDescent="0.35">
      <c r="A467" s="8" t="s">
        <v>512</v>
      </c>
      <c r="B467" s="9">
        <v>1.1299999999999999</v>
      </c>
      <c r="C467" s="9">
        <v>2.48</v>
      </c>
      <c r="D467" s="5">
        <f t="shared" si="7"/>
        <v>0.45564516129032256</v>
      </c>
    </row>
    <row r="468" spans="1:4" ht="16" x14ac:dyDescent="0.35">
      <c r="A468" s="8" t="s">
        <v>352</v>
      </c>
      <c r="B468" s="9">
        <v>0.73</v>
      </c>
      <c r="C468" s="9">
        <v>2.48</v>
      </c>
      <c r="D468" s="5">
        <f t="shared" si="7"/>
        <v>0.29435483870967744</v>
      </c>
    </row>
    <row r="469" spans="1:4" ht="16" x14ac:dyDescent="0.35">
      <c r="A469" s="8" t="s">
        <v>500</v>
      </c>
      <c r="B469" s="9">
        <v>0.54</v>
      </c>
      <c r="C469" s="9">
        <v>2.4700000000000002</v>
      </c>
      <c r="D469" s="5">
        <f t="shared" si="7"/>
        <v>0.21862348178137653</v>
      </c>
    </row>
    <row r="470" spans="1:4" ht="16" x14ac:dyDescent="0.35">
      <c r="A470" s="8" t="s">
        <v>50</v>
      </c>
      <c r="B470" s="9">
        <v>0.24</v>
      </c>
      <c r="C470" s="9">
        <v>2.4700000000000002</v>
      </c>
      <c r="D470" s="5">
        <f t="shared" si="7"/>
        <v>9.7165991902833995E-2</v>
      </c>
    </row>
    <row r="471" spans="1:4" ht="16" x14ac:dyDescent="0.35">
      <c r="A471" s="8" t="s">
        <v>175</v>
      </c>
      <c r="B471" s="9">
        <v>0.46</v>
      </c>
      <c r="C471" s="9">
        <v>2.46</v>
      </c>
      <c r="D471" s="5">
        <f t="shared" si="7"/>
        <v>0.18699186991869921</v>
      </c>
    </row>
    <row r="472" spans="1:4" ht="16" x14ac:dyDescent="0.35">
      <c r="A472" s="8" t="s">
        <v>74</v>
      </c>
      <c r="B472" s="9">
        <v>0.76</v>
      </c>
      <c r="C472" s="9">
        <v>2.4500000000000002</v>
      </c>
      <c r="D472" s="5">
        <f t="shared" si="7"/>
        <v>0.31020408163265306</v>
      </c>
    </row>
    <row r="473" spans="1:4" ht="16" x14ac:dyDescent="0.35">
      <c r="A473" s="8" t="s">
        <v>272</v>
      </c>
      <c r="B473" s="9">
        <v>0.53</v>
      </c>
      <c r="C473" s="9">
        <v>2.4500000000000002</v>
      </c>
      <c r="D473" s="5">
        <f t="shared" si="7"/>
        <v>0.21632653061224488</v>
      </c>
    </row>
    <row r="474" spans="1:4" ht="16" x14ac:dyDescent="0.35">
      <c r="A474" s="8" t="s">
        <v>379</v>
      </c>
      <c r="B474" s="9">
        <v>0.14000000000000001</v>
      </c>
      <c r="C474" s="9">
        <v>2.4500000000000002</v>
      </c>
      <c r="D474" s="5">
        <f t="shared" si="7"/>
        <v>5.7142857142857141E-2</v>
      </c>
    </row>
    <row r="475" spans="1:4" ht="16" x14ac:dyDescent="0.35">
      <c r="A475" s="8" t="s">
        <v>520</v>
      </c>
      <c r="B475" s="9">
        <v>1.07</v>
      </c>
      <c r="C475" s="9">
        <v>2.44</v>
      </c>
      <c r="D475" s="5">
        <f t="shared" si="7"/>
        <v>0.43852459016393447</v>
      </c>
    </row>
    <row r="476" spans="1:4" ht="16" x14ac:dyDescent="0.35">
      <c r="A476" s="8" t="s">
        <v>394</v>
      </c>
      <c r="B476" s="9">
        <v>0.68</v>
      </c>
      <c r="C476" s="9">
        <v>2.42</v>
      </c>
      <c r="D476" s="5">
        <f t="shared" si="7"/>
        <v>0.28099173553719009</v>
      </c>
    </row>
    <row r="477" spans="1:4" ht="16" x14ac:dyDescent="0.35">
      <c r="A477" s="8" t="s">
        <v>87</v>
      </c>
      <c r="B477" s="9">
        <v>0.54</v>
      </c>
      <c r="C477" s="9">
        <v>2.41</v>
      </c>
      <c r="D477" s="5">
        <f t="shared" si="7"/>
        <v>0.22406639004149378</v>
      </c>
    </row>
    <row r="478" spans="1:4" ht="16" x14ac:dyDescent="0.35">
      <c r="A478" s="8" t="s">
        <v>269</v>
      </c>
      <c r="B478" s="9">
        <v>0.51</v>
      </c>
      <c r="C478" s="9">
        <v>2.4</v>
      </c>
      <c r="D478" s="5">
        <f t="shared" si="7"/>
        <v>0.21250000000000002</v>
      </c>
    </row>
    <row r="479" spans="1:4" ht="16" x14ac:dyDescent="0.35">
      <c r="A479" s="8" t="s">
        <v>540</v>
      </c>
      <c r="B479" s="9">
        <v>0.16</v>
      </c>
      <c r="C479" s="9">
        <v>2.4</v>
      </c>
      <c r="D479" s="5">
        <f t="shared" si="7"/>
        <v>6.6666666666666666E-2</v>
      </c>
    </row>
    <row r="480" spans="1:4" ht="16" x14ac:dyDescent="0.35">
      <c r="A480" s="8" t="s">
        <v>359</v>
      </c>
      <c r="B480" s="9">
        <v>0.86</v>
      </c>
      <c r="C480" s="9">
        <v>2.39</v>
      </c>
      <c r="D480" s="5">
        <f t="shared" si="7"/>
        <v>0.35983263598326359</v>
      </c>
    </row>
    <row r="481" spans="1:4" ht="16" x14ac:dyDescent="0.35">
      <c r="A481" s="8" t="s">
        <v>352</v>
      </c>
      <c r="B481" s="9">
        <v>0.51</v>
      </c>
      <c r="C481" s="9">
        <v>2.37</v>
      </c>
      <c r="D481" s="5">
        <f t="shared" si="7"/>
        <v>0.2151898734177215</v>
      </c>
    </row>
    <row r="482" spans="1:4" ht="16" x14ac:dyDescent="0.35">
      <c r="A482" s="8" t="s">
        <v>549</v>
      </c>
      <c r="B482" s="10">
        <v>0</v>
      </c>
      <c r="C482" s="9">
        <v>2.36</v>
      </c>
      <c r="D482" s="5">
        <f t="shared" si="7"/>
        <v>0</v>
      </c>
    </row>
    <row r="483" spans="1:4" ht="16" x14ac:dyDescent="0.35">
      <c r="A483" s="8" t="s">
        <v>316</v>
      </c>
      <c r="B483" s="10">
        <v>0</v>
      </c>
      <c r="C483" s="9">
        <v>2.36</v>
      </c>
      <c r="D483" s="5">
        <f t="shared" si="7"/>
        <v>0</v>
      </c>
    </row>
    <row r="484" spans="1:4" ht="16" x14ac:dyDescent="0.35">
      <c r="A484" s="8" t="s">
        <v>56</v>
      </c>
      <c r="B484" s="9">
        <v>0.67</v>
      </c>
      <c r="C484" s="9">
        <v>2.35</v>
      </c>
      <c r="D484" s="5">
        <f t="shared" si="7"/>
        <v>0.28510638297872343</v>
      </c>
    </row>
    <row r="485" spans="1:4" ht="16" x14ac:dyDescent="0.35">
      <c r="A485" s="8" t="s">
        <v>119</v>
      </c>
      <c r="B485" s="10">
        <v>0</v>
      </c>
      <c r="C485" s="9">
        <v>2.35</v>
      </c>
      <c r="D485" s="5">
        <f t="shared" si="7"/>
        <v>0</v>
      </c>
    </row>
    <row r="486" spans="1:4" ht="16" x14ac:dyDescent="0.35">
      <c r="A486" s="8" t="s">
        <v>338</v>
      </c>
      <c r="B486" s="9">
        <v>1.89</v>
      </c>
      <c r="C486" s="9">
        <v>2.33</v>
      </c>
      <c r="D486" s="5">
        <f t="shared" si="7"/>
        <v>0.81115879828326176</v>
      </c>
    </row>
    <row r="487" spans="1:4" ht="16" x14ac:dyDescent="0.35">
      <c r="A487" s="8" t="s">
        <v>215</v>
      </c>
      <c r="B487" s="9">
        <v>0.85</v>
      </c>
      <c r="C487" s="9">
        <v>2.33</v>
      </c>
      <c r="D487" s="5">
        <f t="shared" si="7"/>
        <v>0.36480686695278969</v>
      </c>
    </row>
    <row r="488" spans="1:4" ht="16" x14ac:dyDescent="0.35">
      <c r="A488" s="8" t="s">
        <v>495</v>
      </c>
      <c r="B488" s="9">
        <v>0.36</v>
      </c>
      <c r="C488" s="9">
        <v>2.33</v>
      </c>
      <c r="D488" s="5">
        <f t="shared" si="7"/>
        <v>0.15450643776824033</v>
      </c>
    </row>
    <row r="489" spans="1:4" ht="16" x14ac:dyDescent="0.35">
      <c r="A489" s="8" t="s">
        <v>464</v>
      </c>
      <c r="B489" s="9">
        <v>0.54</v>
      </c>
      <c r="C489" s="9">
        <v>2.3199999999999998</v>
      </c>
      <c r="D489" s="5">
        <f t="shared" si="7"/>
        <v>0.23275862068965519</v>
      </c>
    </row>
    <row r="490" spans="1:4" ht="16" x14ac:dyDescent="0.35">
      <c r="A490" s="8" t="s">
        <v>107</v>
      </c>
      <c r="B490" s="9">
        <v>0.52</v>
      </c>
      <c r="C490" s="9">
        <v>2.31</v>
      </c>
      <c r="D490" s="5">
        <f t="shared" si="7"/>
        <v>0.22510822510822512</v>
      </c>
    </row>
    <row r="491" spans="1:4" ht="16" x14ac:dyDescent="0.35">
      <c r="A491" s="8" t="s">
        <v>465</v>
      </c>
      <c r="B491" s="9">
        <v>0.94</v>
      </c>
      <c r="C491" s="9">
        <v>2.2999999999999998</v>
      </c>
      <c r="D491" s="5">
        <f t="shared" si="7"/>
        <v>0.40869565217391307</v>
      </c>
    </row>
    <row r="492" spans="1:4" ht="16" x14ac:dyDescent="0.35">
      <c r="A492" s="8" t="s">
        <v>121</v>
      </c>
      <c r="B492" s="9">
        <v>0.62</v>
      </c>
      <c r="C492" s="9">
        <v>2.2999999999999998</v>
      </c>
      <c r="D492" s="5">
        <f t="shared" si="7"/>
        <v>0.26956521739130435</v>
      </c>
    </row>
    <row r="493" spans="1:4" ht="16" x14ac:dyDescent="0.35">
      <c r="A493" s="8" t="s">
        <v>19</v>
      </c>
      <c r="B493" s="9">
        <v>0.43</v>
      </c>
      <c r="C493" s="9">
        <v>2.2999999999999998</v>
      </c>
      <c r="D493" s="5">
        <f t="shared" si="7"/>
        <v>0.18695652173913044</v>
      </c>
    </row>
    <row r="494" spans="1:4" ht="16" x14ac:dyDescent="0.35">
      <c r="A494" s="8" t="s">
        <v>51</v>
      </c>
      <c r="B494" s="9">
        <v>0.22</v>
      </c>
      <c r="C494" s="9">
        <v>2.29</v>
      </c>
      <c r="D494" s="5">
        <f t="shared" si="7"/>
        <v>9.606986899563319E-2</v>
      </c>
    </row>
    <row r="495" spans="1:4" ht="16" x14ac:dyDescent="0.35">
      <c r="A495" s="8" t="s">
        <v>534</v>
      </c>
      <c r="B495" s="9">
        <v>0.27</v>
      </c>
      <c r="C495" s="9">
        <v>2.2799999999999998</v>
      </c>
      <c r="D495" s="5">
        <f t="shared" si="7"/>
        <v>0.11842105263157897</v>
      </c>
    </row>
    <row r="496" spans="1:4" ht="16" x14ac:dyDescent="0.35">
      <c r="A496" s="8" t="s">
        <v>288</v>
      </c>
      <c r="B496" s="9">
        <v>0.89</v>
      </c>
      <c r="C496" s="9">
        <v>2.2400000000000002</v>
      </c>
      <c r="D496" s="5">
        <f t="shared" si="7"/>
        <v>0.39732142857142855</v>
      </c>
    </row>
    <row r="497" spans="1:4" ht="16" x14ac:dyDescent="0.35">
      <c r="A497" s="8" t="s">
        <v>91</v>
      </c>
      <c r="B497" s="9">
        <v>0.46</v>
      </c>
      <c r="C497" s="9">
        <v>2.2400000000000002</v>
      </c>
      <c r="D497" s="5">
        <f t="shared" si="7"/>
        <v>0.20535714285714285</v>
      </c>
    </row>
    <row r="498" spans="1:4" ht="16" x14ac:dyDescent="0.35">
      <c r="A498" s="8" t="s">
        <v>273</v>
      </c>
      <c r="B498" s="9">
        <v>0.81</v>
      </c>
      <c r="C498" s="9">
        <v>2.23</v>
      </c>
      <c r="D498" s="5">
        <f t="shared" si="7"/>
        <v>0.36322869955156956</v>
      </c>
    </row>
    <row r="499" spans="1:4" ht="16" x14ac:dyDescent="0.35">
      <c r="A499" s="8" t="s">
        <v>234</v>
      </c>
      <c r="B499" s="9">
        <v>0.52</v>
      </c>
      <c r="C499" s="9">
        <v>2.23</v>
      </c>
      <c r="D499" s="5">
        <f t="shared" si="7"/>
        <v>0.23318385650224216</v>
      </c>
    </row>
    <row r="500" spans="1:4" ht="16" x14ac:dyDescent="0.35">
      <c r="A500" s="8" t="s">
        <v>58</v>
      </c>
      <c r="B500" s="10">
        <v>0</v>
      </c>
      <c r="C500" s="9">
        <v>2.23</v>
      </c>
      <c r="D500" s="5">
        <f t="shared" si="7"/>
        <v>0</v>
      </c>
    </row>
    <row r="501" spans="1:4" ht="16" x14ac:dyDescent="0.35">
      <c r="A501" s="8" t="s">
        <v>155</v>
      </c>
      <c r="B501" s="9">
        <v>0.99</v>
      </c>
      <c r="C501" s="9">
        <v>2.2200000000000002</v>
      </c>
      <c r="D501" s="5">
        <f t="shared" si="7"/>
        <v>0.44594594594594589</v>
      </c>
    </row>
    <row r="502" spans="1:4" ht="16" x14ac:dyDescent="0.35">
      <c r="A502" s="8" t="s">
        <v>456</v>
      </c>
      <c r="B502" s="9">
        <v>0.47</v>
      </c>
      <c r="C502" s="9">
        <v>2.2200000000000002</v>
      </c>
      <c r="D502" s="5">
        <f t="shared" si="7"/>
        <v>0.21171171171171169</v>
      </c>
    </row>
    <row r="503" spans="1:4" ht="16" x14ac:dyDescent="0.35">
      <c r="A503" s="8" t="s">
        <v>526</v>
      </c>
      <c r="B503" s="9">
        <v>0.91</v>
      </c>
      <c r="C503" s="9">
        <v>2.21</v>
      </c>
      <c r="D503" s="5">
        <f t="shared" si="7"/>
        <v>0.41176470588235298</v>
      </c>
    </row>
    <row r="504" spans="1:4" ht="16" x14ac:dyDescent="0.35">
      <c r="A504" s="8" t="s">
        <v>326</v>
      </c>
      <c r="B504" s="9">
        <v>0.19</v>
      </c>
      <c r="C504" s="9">
        <v>2.2000000000000002</v>
      </c>
      <c r="D504" s="5">
        <f t="shared" si="7"/>
        <v>8.6363636363636351E-2</v>
      </c>
    </row>
    <row r="505" spans="1:4" ht="16" x14ac:dyDescent="0.35">
      <c r="A505" s="8" t="s">
        <v>301</v>
      </c>
      <c r="B505" s="9">
        <v>0.15</v>
      </c>
      <c r="C505" s="9">
        <v>2.19</v>
      </c>
      <c r="D505" s="5">
        <f t="shared" si="7"/>
        <v>6.8493150684931503E-2</v>
      </c>
    </row>
    <row r="506" spans="1:4" ht="16" x14ac:dyDescent="0.35">
      <c r="A506" s="8" t="s">
        <v>38</v>
      </c>
      <c r="B506" s="9">
        <v>0.04</v>
      </c>
      <c r="C506" s="9">
        <v>2.1800000000000002</v>
      </c>
      <c r="D506" s="5">
        <f t="shared" si="7"/>
        <v>1.8348623853211007E-2</v>
      </c>
    </row>
    <row r="507" spans="1:4" ht="16" x14ac:dyDescent="0.35">
      <c r="A507" s="8" t="s">
        <v>306</v>
      </c>
      <c r="B507" s="9">
        <v>1.1399999999999999</v>
      </c>
      <c r="C507" s="9">
        <v>2.17</v>
      </c>
      <c r="D507" s="5">
        <f t="shared" si="7"/>
        <v>0.52534562211981561</v>
      </c>
    </row>
    <row r="508" spans="1:4" ht="16" x14ac:dyDescent="0.35">
      <c r="A508" s="8" t="s">
        <v>230</v>
      </c>
      <c r="B508" s="9">
        <v>0.77</v>
      </c>
      <c r="C508" s="9">
        <v>2.17</v>
      </c>
      <c r="D508" s="5">
        <f t="shared" si="7"/>
        <v>0.35483870967741937</v>
      </c>
    </row>
    <row r="509" spans="1:4" ht="16" x14ac:dyDescent="0.35">
      <c r="A509" s="8" t="s">
        <v>300</v>
      </c>
      <c r="B509" s="9">
        <v>0.63</v>
      </c>
      <c r="C509" s="9">
        <v>2.16</v>
      </c>
      <c r="D509" s="5">
        <f t="shared" si="7"/>
        <v>0.29166666666666663</v>
      </c>
    </row>
    <row r="510" spans="1:4" ht="16" x14ac:dyDescent="0.35">
      <c r="A510" s="8" t="s">
        <v>161</v>
      </c>
      <c r="B510" s="9">
        <v>0.52</v>
      </c>
      <c r="C510" s="9">
        <v>2.15</v>
      </c>
      <c r="D510" s="5">
        <f t="shared" si="7"/>
        <v>0.24186046511627909</v>
      </c>
    </row>
    <row r="511" spans="1:4" ht="16" x14ac:dyDescent="0.35">
      <c r="A511" s="8" t="s">
        <v>19</v>
      </c>
      <c r="B511" s="9">
        <v>0.46</v>
      </c>
      <c r="C511" s="9">
        <v>2.15</v>
      </c>
      <c r="D511" s="5">
        <f t="shared" si="7"/>
        <v>0.21395348837209305</v>
      </c>
    </row>
    <row r="512" spans="1:4" ht="16" x14ac:dyDescent="0.35">
      <c r="A512" s="8" t="s">
        <v>280</v>
      </c>
      <c r="B512" s="9">
        <v>0.44</v>
      </c>
      <c r="C512" s="9">
        <v>2.14</v>
      </c>
      <c r="D512" s="5">
        <f t="shared" si="7"/>
        <v>0.20560747663551401</v>
      </c>
    </row>
    <row r="513" spans="1:4" ht="16" x14ac:dyDescent="0.35">
      <c r="A513" s="8" t="s">
        <v>195</v>
      </c>
      <c r="B513" s="10">
        <v>0</v>
      </c>
      <c r="C513" s="9">
        <v>2.13</v>
      </c>
      <c r="D513" s="5">
        <f t="shared" si="7"/>
        <v>0</v>
      </c>
    </row>
    <row r="514" spans="1:4" ht="16" x14ac:dyDescent="0.35">
      <c r="A514" s="8" t="s">
        <v>190</v>
      </c>
      <c r="B514" s="10">
        <v>0</v>
      </c>
      <c r="C514" s="9">
        <v>2.13</v>
      </c>
      <c r="D514" s="5">
        <f t="shared" ref="D514:D577" si="8">B514/C514</f>
        <v>0</v>
      </c>
    </row>
    <row r="515" spans="1:4" ht="16" x14ac:dyDescent="0.35">
      <c r="A515" s="8" t="s">
        <v>536</v>
      </c>
      <c r="B515" s="9">
        <v>0.49</v>
      </c>
      <c r="C515" s="9">
        <v>2.12</v>
      </c>
      <c r="D515" s="5">
        <f t="shared" si="8"/>
        <v>0.23113207547169809</v>
      </c>
    </row>
    <row r="516" spans="1:4" ht="16" x14ac:dyDescent="0.35">
      <c r="A516" s="8" t="s">
        <v>381</v>
      </c>
      <c r="B516" s="9">
        <v>0.41</v>
      </c>
      <c r="C516" s="9">
        <v>2.12</v>
      </c>
      <c r="D516" s="5">
        <f t="shared" si="8"/>
        <v>0.19339622641509432</v>
      </c>
    </row>
    <row r="517" spans="1:4" ht="16" x14ac:dyDescent="0.35">
      <c r="A517" s="8" t="s">
        <v>201</v>
      </c>
      <c r="B517" s="9">
        <v>0.97</v>
      </c>
      <c r="C517" s="9">
        <v>2.11</v>
      </c>
      <c r="D517" s="5">
        <f t="shared" si="8"/>
        <v>0.45971563981042657</v>
      </c>
    </row>
    <row r="518" spans="1:4" ht="16" x14ac:dyDescent="0.35">
      <c r="A518" s="8" t="s">
        <v>512</v>
      </c>
      <c r="B518" s="9">
        <v>0.33</v>
      </c>
      <c r="C518" s="9">
        <v>2.11</v>
      </c>
      <c r="D518" s="5">
        <f t="shared" si="8"/>
        <v>0.15639810426540285</v>
      </c>
    </row>
    <row r="519" spans="1:4" ht="16" x14ac:dyDescent="0.35">
      <c r="A519" s="8" t="s">
        <v>547</v>
      </c>
      <c r="B519" s="9">
        <v>0.34</v>
      </c>
      <c r="C519" s="9">
        <v>2.1</v>
      </c>
      <c r="D519" s="5">
        <f t="shared" si="8"/>
        <v>0.16190476190476191</v>
      </c>
    </row>
    <row r="520" spans="1:4" ht="16" x14ac:dyDescent="0.35">
      <c r="A520" s="8" t="s">
        <v>89</v>
      </c>
      <c r="B520" s="9">
        <v>0.92</v>
      </c>
      <c r="C520" s="9">
        <v>2.09</v>
      </c>
      <c r="D520" s="5">
        <f t="shared" si="8"/>
        <v>0.44019138755980869</v>
      </c>
    </row>
    <row r="521" spans="1:4" ht="16" x14ac:dyDescent="0.35">
      <c r="A521" s="8" t="s">
        <v>164</v>
      </c>
      <c r="B521" s="9">
        <v>0.28000000000000003</v>
      </c>
      <c r="C521" s="9">
        <v>2.09</v>
      </c>
      <c r="D521" s="5">
        <f t="shared" si="8"/>
        <v>0.13397129186602874</v>
      </c>
    </row>
    <row r="522" spans="1:4" ht="16" x14ac:dyDescent="0.35">
      <c r="A522" s="8" t="s">
        <v>103</v>
      </c>
      <c r="B522" s="9">
        <v>0.98</v>
      </c>
      <c r="C522" s="9">
        <v>2.08</v>
      </c>
      <c r="D522" s="5">
        <f t="shared" si="8"/>
        <v>0.47115384615384615</v>
      </c>
    </row>
    <row r="523" spans="1:4" ht="16" x14ac:dyDescent="0.35">
      <c r="A523" s="8" t="s">
        <v>502</v>
      </c>
      <c r="B523" s="9">
        <v>0.47</v>
      </c>
      <c r="C523" s="9">
        <v>2.08</v>
      </c>
      <c r="D523" s="5">
        <f t="shared" si="8"/>
        <v>0.22596153846153844</v>
      </c>
    </row>
    <row r="524" spans="1:4" ht="16" x14ac:dyDescent="0.35">
      <c r="A524" s="8" t="s">
        <v>244</v>
      </c>
      <c r="B524" s="10">
        <v>0</v>
      </c>
      <c r="C524" s="9">
        <v>2.08</v>
      </c>
      <c r="D524" s="5">
        <f t="shared" si="8"/>
        <v>0</v>
      </c>
    </row>
    <row r="525" spans="1:4" ht="16" x14ac:dyDescent="0.35">
      <c r="A525" s="8" t="s">
        <v>25</v>
      </c>
      <c r="B525" s="9">
        <v>2.0699999999999998</v>
      </c>
      <c r="C525" s="9">
        <v>2.0699999999999998</v>
      </c>
      <c r="D525" s="5">
        <f t="shared" si="8"/>
        <v>1</v>
      </c>
    </row>
    <row r="526" spans="1:4" ht="16" x14ac:dyDescent="0.35">
      <c r="A526" s="8" t="s">
        <v>334</v>
      </c>
      <c r="B526" s="9">
        <v>1.01</v>
      </c>
      <c r="C526" s="9">
        <v>2.0699999999999998</v>
      </c>
      <c r="D526" s="5">
        <f t="shared" si="8"/>
        <v>0.48792270531400972</v>
      </c>
    </row>
    <row r="527" spans="1:4" ht="16" x14ac:dyDescent="0.35">
      <c r="A527" s="8" t="s">
        <v>191</v>
      </c>
      <c r="B527" s="9">
        <v>0.66</v>
      </c>
      <c r="C527" s="9">
        <v>2.06</v>
      </c>
      <c r="D527" s="5">
        <f t="shared" si="8"/>
        <v>0.32038834951456313</v>
      </c>
    </row>
    <row r="528" spans="1:4" ht="16" x14ac:dyDescent="0.35">
      <c r="A528" s="8" t="s">
        <v>266</v>
      </c>
      <c r="B528" s="9">
        <v>1.39</v>
      </c>
      <c r="C528" s="9">
        <v>2.0499999999999998</v>
      </c>
      <c r="D528" s="5">
        <f t="shared" si="8"/>
        <v>0.67804878048780493</v>
      </c>
    </row>
    <row r="529" spans="1:4" ht="16" x14ac:dyDescent="0.35">
      <c r="A529" s="8" t="s">
        <v>370</v>
      </c>
      <c r="B529" s="9">
        <v>0.53</v>
      </c>
      <c r="C529" s="9">
        <v>2.0499999999999998</v>
      </c>
      <c r="D529" s="5">
        <f t="shared" si="8"/>
        <v>0.25853658536585372</v>
      </c>
    </row>
    <row r="530" spans="1:4" ht="16" x14ac:dyDescent="0.35">
      <c r="A530" s="8" t="s">
        <v>4</v>
      </c>
      <c r="B530" s="9">
        <v>0.36</v>
      </c>
      <c r="C530" s="9">
        <v>2.0499999999999998</v>
      </c>
      <c r="D530" s="5">
        <f t="shared" si="8"/>
        <v>0.17560975609756099</v>
      </c>
    </row>
    <row r="531" spans="1:4" ht="16" x14ac:dyDescent="0.35">
      <c r="A531" s="8" t="s">
        <v>231</v>
      </c>
      <c r="B531" s="10">
        <v>0</v>
      </c>
      <c r="C531" s="9">
        <v>2.0499999999999998</v>
      </c>
      <c r="D531" s="5">
        <f t="shared" si="8"/>
        <v>0</v>
      </c>
    </row>
    <row r="532" spans="1:4" ht="16" x14ac:dyDescent="0.35">
      <c r="A532" s="8" t="s">
        <v>313</v>
      </c>
      <c r="B532" s="9">
        <v>0.46</v>
      </c>
      <c r="C532" s="9">
        <v>2.0299999999999998</v>
      </c>
      <c r="D532" s="5">
        <f t="shared" si="8"/>
        <v>0.22660098522167491</v>
      </c>
    </row>
    <row r="533" spans="1:4" ht="16" x14ac:dyDescent="0.35">
      <c r="A533" s="8" t="s">
        <v>386</v>
      </c>
      <c r="B533" s="10">
        <v>0</v>
      </c>
      <c r="C533" s="9">
        <v>2.02</v>
      </c>
      <c r="D533" s="5">
        <f t="shared" si="8"/>
        <v>0</v>
      </c>
    </row>
    <row r="534" spans="1:4" ht="16" x14ac:dyDescent="0.35">
      <c r="A534" s="8" t="s">
        <v>400</v>
      </c>
      <c r="B534" s="10">
        <v>0</v>
      </c>
      <c r="C534" s="9">
        <v>2.02</v>
      </c>
      <c r="D534" s="5">
        <f t="shared" si="8"/>
        <v>0</v>
      </c>
    </row>
    <row r="535" spans="1:4" ht="16" x14ac:dyDescent="0.35">
      <c r="A535" s="8" t="s">
        <v>107</v>
      </c>
      <c r="B535" s="9">
        <v>0.44</v>
      </c>
      <c r="C535" s="9">
        <v>2.0099999999999998</v>
      </c>
      <c r="D535" s="5">
        <f t="shared" si="8"/>
        <v>0.21890547263681595</v>
      </c>
    </row>
    <row r="536" spans="1:4" ht="16" x14ac:dyDescent="0.35">
      <c r="A536" s="8" t="s">
        <v>121</v>
      </c>
      <c r="B536" s="9">
        <v>0.57999999999999996</v>
      </c>
      <c r="C536" s="9">
        <v>1.99</v>
      </c>
      <c r="D536" s="5">
        <f t="shared" si="8"/>
        <v>0.29145728643216079</v>
      </c>
    </row>
    <row r="537" spans="1:4" ht="16" x14ac:dyDescent="0.35">
      <c r="A537" s="8" t="s">
        <v>265</v>
      </c>
      <c r="B537" s="9">
        <v>0.33</v>
      </c>
      <c r="C537" s="9">
        <v>1.99</v>
      </c>
      <c r="D537" s="5">
        <f t="shared" si="8"/>
        <v>0.16582914572864321</v>
      </c>
    </row>
    <row r="538" spans="1:4" ht="16" x14ac:dyDescent="0.35">
      <c r="A538" s="8" t="s">
        <v>542</v>
      </c>
      <c r="B538" s="10">
        <v>0</v>
      </c>
      <c r="C538" s="9">
        <v>1.98</v>
      </c>
      <c r="D538" s="5">
        <f t="shared" si="8"/>
        <v>0</v>
      </c>
    </row>
    <row r="539" spans="1:4" ht="16" x14ac:dyDescent="0.35">
      <c r="A539" s="8" t="s">
        <v>494</v>
      </c>
      <c r="B539" s="9">
        <v>0.96</v>
      </c>
      <c r="C539" s="9">
        <v>1.97</v>
      </c>
      <c r="D539" s="5">
        <f t="shared" si="8"/>
        <v>0.48730964467005072</v>
      </c>
    </row>
    <row r="540" spans="1:4" ht="16" x14ac:dyDescent="0.35">
      <c r="A540" s="8" t="s">
        <v>186</v>
      </c>
      <c r="B540" s="9">
        <v>0.77</v>
      </c>
      <c r="C540" s="9">
        <v>1.97</v>
      </c>
      <c r="D540" s="5">
        <f t="shared" si="8"/>
        <v>0.39086294416243655</v>
      </c>
    </row>
    <row r="541" spans="1:4" ht="16" x14ac:dyDescent="0.35">
      <c r="A541" s="8" t="s">
        <v>342</v>
      </c>
      <c r="B541" s="9">
        <v>0.66</v>
      </c>
      <c r="C541" s="9">
        <v>1.96</v>
      </c>
      <c r="D541" s="5">
        <f t="shared" si="8"/>
        <v>0.33673469387755106</v>
      </c>
    </row>
    <row r="542" spans="1:4" ht="16" x14ac:dyDescent="0.35">
      <c r="A542" s="8" t="s">
        <v>457</v>
      </c>
      <c r="B542" s="9">
        <v>0.35</v>
      </c>
      <c r="C542" s="9">
        <v>1.95</v>
      </c>
      <c r="D542" s="5">
        <f t="shared" si="8"/>
        <v>0.17948717948717949</v>
      </c>
    </row>
    <row r="543" spans="1:4" ht="16" x14ac:dyDescent="0.35">
      <c r="A543" s="8" t="s">
        <v>242</v>
      </c>
      <c r="B543" s="9">
        <v>0.49</v>
      </c>
      <c r="C543" s="9">
        <v>1.94</v>
      </c>
      <c r="D543" s="5">
        <f t="shared" si="8"/>
        <v>0.25257731958762886</v>
      </c>
    </row>
    <row r="544" spans="1:4" ht="16" x14ac:dyDescent="0.35">
      <c r="A544" s="8" t="s">
        <v>481</v>
      </c>
      <c r="B544" s="10">
        <v>0</v>
      </c>
      <c r="C544" s="9">
        <v>1.91</v>
      </c>
      <c r="D544" s="5">
        <f t="shared" si="8"/>
        <v>0</v>
      </c>
    </row>
    <row r="545" spans="1:4" ht="16" x14ac:dyDescent="0.35">
      <c r="A545" s="8" t="s">
        <v>401</v>
      </c>
      <c r="B545" s="10">
        <v>0</v>
      </c>
      <c r="C545" s="9">
        <v>1.9</v>
      </c>
      <c r="D545" s="5">
        <f t="shared" si="8"/>
        <v>0</v>
      </c>
    </row>
    <row r="546" spans="1:4" ht="16" x14ac:dyDescent="0.35">
      <c r="A546" s="8" t="s">
        <v>309</v>
      </c>
      <c r="B546" s="9">
        <v>0.69</v>
      </c>
      <c r="C546" s="9">
        <v>1.89</v>
      </c>
      <c r="D546" s="5">
        <f t="shared" si="8"/>
        <v>0.36507936507936506</v>
      </c>
    </row>
    <row r="547" spans="1:4" ht="16" x14ac:dyDescent="0.35">
      <c r="A547" s="8" t="s">
        <v>504</v>
      </c>
      <c r="B547" s="9">
        <v>0.57999999999999996</v>
      </c>
      <c r="C547" s="9">
        <v>1.89</v>
      </c>
      <c r="D547" s="5">
        <f t="shared" si="8"/>
        <v>0.30687830687830686</v>
      </c>
    </row>
    <row r="548" spans="1:4" ht="16" x14ac:dyDescent="0.35">
      <c r="A548" s="8" t="s">
        <v>54</v>
      </c>
      <c r="B548" s="9">
        <v>0.74</v>
      </c>
      <c r="C548" s="9">
        <v>1.88</v>
      </c>
      <c r="D548" s="5">
        <f t="shared" si="8"/>
        <v>0.39361702127659576</v>
      </c>
    </row>
    <row r="549" spans="1:4" ht="16" x14ac:dyDescent="0.35">
      <c r="A549" s="8" t="s">
        <v>77</v>
      </c>
      <c r="B549" s="9">
        <v>0.62</v>
      </c>
      <c r="C549" s="9">
        <v>1.87</v>
      </c>
      <c r="D549" s="5">
        <f t="shared" si="8"/>
        <v>0.33155080213903743</v>
      </c>
    </row>
    <row r="550" spans="1:4" ht="16" x14ac:dyDescent="0.35">
      <c r="A550" s="8" t="s">
        <v>157</v>
      </c>
      <c r="B550" s="9">
        <v>0.56000000000000005</v>
      </c>
      <c r="C550" s="9">
        <v>1.87</v>
      </c>
      <c r="D550" s="5">
        <f t="shared" si="8"/>
        <v>0.29946524064171126</v>
      </c>
    </row>
    <row r="551" spans="1:4" ht="16" x14ac:dyDescent="0.35">
      <c r="A551" s="8" t="s">
        <v>359</v>
      </c>
      <c r="B551" s="9">
        <v>0.63</v>
      </c>
      <c r="C551" s="9">
        <v>1.86</v>
      </c>
      <c r="D551" s="5">
        <f t="shared" si="8"/>
        <v>0.33870967741935482</v>
      </c>
    </row>
    <row r="552" spans="1:4" ht="16" x14ac:dyDescent="0.35">
      <c r="A552" s="8" t="s">
        <v>142</v>
      </c>
      <c r="B552" s="9">
        <v>0.51</v>
      </c>
      <c r="C552" s="9">
        <v>1.86</v>
      </c>
      <c r="D552" s="5">
        <f t="shared" si="8"/>
        <v>0.27419354838709675</v>
      </c>
    </row>
    <row r="553" spans="1:4" ht="16" x14ac:dyDescent="0.35">
      <c r="A553" s="8" t="s">
        <v>57</v>
      </c>
      <c r="B553" s="9">
        <v>0.41</v>
      </c>
      <c r="C553" s="9">
        <v>1.86</v>
      </c>
      <c r="D553" s="5">
        <f t="shared" si="8"/>
        <v>0.22043010752688169</v>
      </c>
    </row>
    <row r="554" spans="1:4" ht="16" x14ac:dyDescent="0.35">
      <c r="A554" s="8" t="s">
        <v>270</v>
      </c>
      <c r="B554" s="9">
        <v>0.35</v>
      </c>
      <c r="C554" s="9">
        <v>1.86</v>
      </c>
      <c r="D554" s="5">
        <f t="shared" si="8"/>
        <v>0.18817204301075266</v>
      </c>
    </row>
    <row r="555" spans="1:4" ht="16" x14ac:dyDescent="0.35">
      <c r="A555" s="8" t="s">
        <v>287</v>
      </c>
      <c r="B555" s="9">
        <v>0.56999999999999995</v>
      </c>
      <c r="C555" s="9">
        <v>1.85</v>
      </c>
      <c r="D555" s="5">
        <f t="shared" si="8"/>
        <v>0.30810810810810807</v>
      </c>
    </row>
    <row r="556" spans="1:4" ht="16" x14ac:dyDescent="0.35">
      <c r="A556" s="8" t="s">
        <v>434</v>
      </c>
      <c r="B556" s="9">
        <v>0.03</v>
      </c>
      <c r="C556" s="9">
        <v>1.85</v>
      </c>
      <c r="D556" s="5">
        <f t="shared" si="8"/>
        <v>1.6216216216216214E-2</v>
      </c>
    </row>
    <row r="557" spans="1:4" ht="16" x14ac:dyDescent="0.35">
      <c r="A557" s="8" t="s">
        <v>299</v>
      </c>
      <c r="B557" s="9">
        <v>0.38</v>
      </c>
      <c r="C557" s="9">
        <v>1.84</v>
      </c>
      <c r="D557" s="5">
        <f t="shared" si="8"/>
        <v>0.20652173913043478</v>
      </c>
    </row>
    <row r="558" spans="1:4" ht="16" x14ac:dyDescent="0.35">
      <c r="A558" s="8" t="s">
        <v>393</v>
      </c>
      <c r="B558" s="10">
        <v>0</v>
      </c>
      <c r="C558" s="9">
        <v>1.84</v>
      </c>
      <c r="D558" s="5">
        <f t="shared" si="8"/>
        <v>0</v>
      </c>
    </row>
    <row r="559" spans="1:4" ht="16" x14ac:dyDescent="0.35">
      <c r="A559" s="8" t="s">
        <v>84</v>
      </c>
      <c r="B559" s="9">
        <v>0.38</v>
      </c>
      <c r="C559" s="9">
        <v>1.83</v>
      </c>
      <c r="D559" s="5">
        <f t="shared" si="8"/>
        <v>0.2076502732240437</v>
      </c>
    </row>
    <row r="560" spans="1:4" ht="16" x14ac:dyDescent="0.35">
      <c r="A560" s="8" t="s">
        <v>266</v>
      </c>
      <c r="B560" s="9">
        <v>0.84</v>
      </c>
      <c r="C560" s="9">
        <v>1.82</v>
      </c>
      <c r="D560" s="5">
        <f t="shared" si="8"/>
        <v>0.46153846153846151</v>
      </c>
    </row>
    <row r="561" spans="1:4" ht="16" x14ac:dyDescent="0.35">
      <c r="A561" s="8" t="s">
        <v>150</v>
      </c>
      <c r="B561" s="9">
        <v>0.46</v>
      </c>
      <c r="C561" s="9">
        <v>1.81</v>
      </c>
      <c r="D561" s="5">
        <f t="shared" si="8"/>
        <v>0.2541436464088398</v>
      </c>
    </row>
    <row r="562" spans="1:4" ht="16" x14ac:dyDescent="0.35">
      <c r="A562" s="8" t="s">
        <v>249</v>
      </c>
      <c r="B562" s="9">
        <v>0.09</v>
      </c>
      <c r="C562" s="9">
        <v>1.8</v>
      </c>
      <c r="D562" s="5">
        <f t="shared" si="8"/>
        <v>4.9999999999999996E-2</v>
      </c>
    </row>
    <row r="563" spans="1:4" ht="16" x14ac:dyDescent="0.35">
      <c r="A563" s="8" t="s">
        <v>237</v>
      </c>
      <c r="B563" s="9">
        <v>0.46</v>
      </c>
      <c r="C563" s="9">
        <v>1.79</v>
      </c>
      <c r="D563" s="5">
        <f t="shared" si="8"/>
        <v>0.25698324022346369</v>
      </c>
    </row>
    <row r="564" spans="1:4" ht="16" x14ac:dyDescent="0.35">
      <c r="A564" s="8" t="s">
        <v>272</v>
      </c>
      <c r="B564" s="9">
        <v>0.41</v>
      </c>
      <c r="C564" s="9">
        <v>1.79</v>
      </c>
      <c r="D564" s="5">
        <f t="shared" si="8"/>
        <v>0.22905027932960892</v>
      </c>
    </row>
    <row r="565" spans="1:4" ht="16" x14ac:dyDescent="0.35">
      <c r="A565" s="8" t="s">
        <v>538</v>
      </c>
      <c r="B565" s="9">
        <v>0.49</v>
      </c>
      <c r="C565" s="9">
        <v>1.78</v>
      </c>
      <c r="D565" s="5">
        <f t="shared" si="8"/>
        <v>0.2752808988764045</v>
      </c>
    </row>
    <row r="566" spans="1:4" ht="16" x14ac:dyDescent="0.35">
      <c r="A566" s="8" t="s">
        <v>285</v>
      </c>
      <c r="B566" s="9">
        <v>0.36</v>
      </c>
      <c r="C566" s="9">
        <v>1.78</v>
      </c>
      <c r="D566" s="5">
        <f t="shared" si="8"/>
        <v>0.20224719101123595</v>
      </c>
    </row>
    <row r="567" spans="1:4" ht="16" x14ac:dyDescent="0.35">
      <c r="A567" s="8" t="s">
        <v>7</v>
      </c>
      <c r="B567" s="9">
        <v>0.56000000000000005</v>
      </c>
      <c r="C567" s="9">
        <v>1.76</v>
      </c>
      <c r="D567" s="5">
        <f t="shared" si="8"/>
        <v>0.31818181818181823</v>
      </c>
    </row>
    <row r="568" spans="1:4" ht="16" x14ac:dyDescent="0.35">
      <c r="A568" s="8" t="s">
        <v>252</v>
      </c>
      <c r="B568" s="9">
        <v>0.35</v>
      </c>
      <c r="C568" s="9">
        <v>1.76</v>
      </c>
      <c r="D568" s="5">
        <f t="shared" si="8"/>
        <v>0.19886363636363635</v>
      </c>
    </row>
    <row r="569" spans="1:4" ht="16" x14ac:dyDescent="0.35">
      <c r="A569" s="8" t="s">
        <v>289</v>
      </c>
      <c r="B569" s="9">
        <v>0.28999999999999998</v>
      </c>
      <c r="C569" s="9">
        <v>1.76</v>
      </c>
      <c r="D569" s="5">
        <f t="shared" si="8"/>
        <v>0.16477272727272727</v>
      </c>
    </row>
    <row r="570" spans="1:4" ht="16" x14ac:dyDescent="0.35">
      <c r="A570" s="8" t="s">
        <v>372</v>
      </c>
      <c r="B570" s="9">
        <v>0.48</v>
      </c>
      <c r="C570" s="9">
        <v>1.75</v>
      </c>
      <c r="D570" s="5">
        <f t="shared" si="8"/>
        <v>0.2742857142857143</v>
      </c>
    </row>
    <row r="571" spans="1:4" ht="16" x14ac:dyDescent="0.35">
      <c r="A571" s="8" t="s">
        <v>325</v>
      </c>
      <c r="B571" s="9">
        <v>0.42</v>
      </c>
      <c r="C571" s="9">
        <v>1.75</v>
      </c>
      <c r="D571" s="5">
        <f t="shared" si="8"/>
        <v>0.24</v>
      </c>
    </row>
    <row r="572" spans="1:4" ht="16" x14ac:dyDescent="0.35">
      <c r="A572" s="8" t="s">
        <v>46</v>
      </c>
      <c r="B572" s="9">
        <v>0.13</v>
      </c>
      <c r="C572" s="9">
        <v>1.74</v>
      </c>
      <c r="D572" s="5">
        <f t="shared" si="8"/>
        <v>7.4712643678160925E-2</v>
      </c>
    </row>
    <row r="573" spans="1:4" ht="16" x14ac:dyDescent="0.35">
      <c r="A573" s="8" t="s">
        <v>413</v>
      </c>
      <c r="B573" s="9">
        <v>0.68</v>
      </c>
      <c r="C573" s="9">
        <v>1.71</v>
      </c>
      <c r="D573" s="5">
        <f t="shared" si="8"/>
        <v>0.39766081871345033</v>
      </c>
    </row>
    <row r="574" spans="1:4" ht="16" x14ac:dyDescent="0.35">
      <c r="A574" s="8" t="s">
        <v>557</v>
      </c>
      <c r="B574" s="10">
        <v>0</v>
      </c>
      <c r="C574" s="9">
        <v>1.7</v>
      </c>
      <c r="D574" s="5">
        <f t="shared" si="8"/>
        <v>0</v>
      </c>
    </row>
    <row r="575" spans="1:4" ht="16" x14ac:dyDescent="0.35">
      <c r="A575" s="8" t="s">
        <v>259</v>
      </c>
      <c r="B575" s="9">
        <v>0.38</v>
      </c>
      <c r="C575" s="9">
        <v>1.68</v>
      </c>
      <c r="D575" s="5">
        <f t="shared" si="8"/>
        <v>0.22619047619047619</v>
      </c>
    </row>
    <row r="576" spans="1:4" ht="16" x14ac:dyDescent="0.35">
      <c r="A576" s="8" t="s">
        <v>346</v>
      </c>
      <c r="B576" s="9">
        <v>0.19</v>
      </c>
      <c r="C576" s="9">
        <v>1.68</v>
      </c>
      <c r="D576" s="5">
        <f t="shared" si="8"/>
        <v>0.1130952380952381</v>
      </c>
    </row>
    <row r="577" spans="1:4" ht="16" x14ac:dyDescent="0.35">
      <c r="A577" s="8" t="s">
        <v>383</v>
      </c>
      <c r="B577" s="9">
        <v>1.1000000000000001</v>
      </c>
      <c r="C577" s="9">
        <v>1.67</v>
      </c>
      <c r="D577" s="5">
        <f t="shared" si="8"/>
        <v>0.65868263473053901</v>
      </c>
    </row>
    <row r="578" spans="1:4" ht="16" x14ac:dyDescent="0.35">
      <c r="A578" s="8" t="s">
        <v>368</v>
      </c>
      <c r="B578" s="9">
        <v>0.32</v>
      </c>
      <c r="C578" s="9">
        <v>1.65</v>
      </c>
      <c r="D578" s="5">
        <f t="shared" ref="D578:D641" si="9">B578/C578</f>
        <v>0.19393939393939397</v>
      </c>
    </row>
    <row r="579" spans="1:4" ht="16" x14ac:dyDescent="0.35">
      <c r="A579" s="8" t="s">
        <v>246</v>
      </c>
      <c r="B579" s="9">
        <v>0.24</v>
      </c>
      <c r="C579" s="9">
        <v>1.65</v>
      </c>
      <c r="D579" s="5">
        <f t="shared" si="9"/>
        <v>0.14545454545454545</v>
      </c>
    </row>
    <row r="580" spans="1:4" ht="16" x14ac:dyDescent="0.35">
      <c r="A580" s="8" t="s">
        <v>524</v>
      </c>
      <c r="B580" s="9">
        <v>0.5</v>
      </c>
      <c r="C580" s="9">
        <v>1.64</v>
      </c>
      <c r="D580" s="5">
        <f t="shared" si="9"/>
        <v>0.3048780487804878</v>
      </c>
    </row>
    <row r="581" spans="1:4" ht="16" x14ac:dyDescent="0.35">
      <c r="A581" s="8" t="s">
        <v>128</v>
      </c>
      <c r="B581" s="9">
        <v>0.47</v>
      </c>
      <c r="C581" s="9">
        <v>1.64</v>
      </c>
      <c r="D581" s="5">
        <f t="shared" si="9"/>
        <v>0.28658536585365851</v>
      </c>
    </row>
    <row r="582" spans="1:4" ht="16" x14ac:dyDescent="0.35">
      <c r="A582" s="8" t="s">
        <v>6</v>
      </c>
      <c r="B582" s="9">
        <v>0.28999999999999998</v>
      </c>
      <c r="C582" s="9">
        <v>1.64</v>
      </c>
      <c r="D582" s="5">
        <f t="shared" si="9"/>
        <v>0.17682926829268292</v>
      </c>
    </row>
    <row r="583" spans="1:4" ht="16" x14ac:dyDescent="0.35">
      <c r="A583" s="8" t="s">
        <v>210</v>
      </c>
      <c r="B583" s="9">
        <v>0.17</v>
      </c>
      <c r="C583" s="9">
        <v>1.64</v>
      </c>
      <c r="D583" s="5">
        <f t="shared" si="9"/>
        <v>0.10365853658536586</v>
      </c>
    </row>
    <row r="584" spans="1:4" ht="16" x14ac:dyDescent="0.35">
      <c r="A584" s="8" t="s">
        <v>449</v>
      </c>
      <c r="B584" s="9">
        <v>0.68</v>
      </c>
      <c r="C584" s="9">
        <v>1.63</v>
      </c>
      <c r="D584" s="5">
        <f t="shared" si="9"/>
        <v>0.41717791411042948</v>
      </c>
    </row>
    <row r="585" spans="1:4" ht="16" x14ac:dyDescent="0.35">
      <c r="A585" s="8" t="s">
        <v>347</v>
      </c>
      <c r="B585" s="9">
        <v>0.43</v>
      </c>
      <c r="C585" s="9">
        <v>1.63</v>
      </c>
      <c r="D585" s="5">
        <f t="shared" si="9"/>
        <v>0.26380368098159512</v>
      </c>
    </row>
    <row r="586" spans="1:4" ht="16" x14ac:dyDescent="0.35">
      <c r="A586" s="8" t="s">
        <v>222</v>
      </c>
      <c r="B586" s="9">
        <v>0.56000000000000005</v>
      </c>
      <c r="C586" s="9">
        <v>1.62</v>
      </c>
      <c r="D586" s="5">
        <f t="shared" si="9"/>
        <v>0.34567901234567905</v>
      </c>
    </row>
    <row r="587" spans="1:4" ht="16" x14ac:dyDescent="0.35">
      <c r="A587" s="8" t="s">
        <v>182</v>
      </c>
      <c r="B587" s="9">
        <v>0.12</v>
      </c>
      <c r="C587" s="9">
        <v>1.62</v>
      </c>
      <c r="D587" s="5">
        <f t="shared" si="9"/>
        <v>7.407407407407407E-2</v>
      </c>
    </row>
    <row r="588" spans="1:4" ht="16" x14ac:dyDescent="0.35">
      <c r="A588" s="8" t="s">
        <v>114</v>
      </c>
      <c r="B588" s="9">
        <v>0.55000000000000004</v>
      </c>
      <c r="C588" s="9">
        <v>1.6</v>
      </c>
      <c r="D588" s="5">
        <f t="shared" si="9"/>
        <v>0.34375</v>
      </c>
    </row>
    <row r="589" spans="1:4" ht="16" x14ac:dyDescent="0.35">
      <c r="A589" s="8" t="s">
        <v>261</v>
      </c>
      <c r="B589" s="9">
        <v>0.51</v>
      </c>
      <c r="C589" s="9">
        <v>1.6</v>
      </c>
      <c r="D589" s="5">
        <f t="shared" si="9"/>
        <v>0.31874999999999998</v>
      </c>
    </row>
    <row r="590" spans="1:4" ht="16" x14ac:dyDescent="0.35">
      <c r="A590" s="8" t="s">
        <v>104</v>
      </c>
      <c r="B590" s="9">
        <v>0.28000000000000003</v>
      </c>
      <c r="C590" s="9">
        <v>1.6</v>
      </c>
      <c r="D590" s="5">
        <f t="shared" si="9"/>
        <v>0.17500000000000002</v>
      </c>
    </row>
    <row r="591" spans="1:4" ht="16" x14ac:dyDescent="0.35">
      <c r="A591" s="8" t="s">
        <v>241</v>
      </c>
      <c r="B591" s="9">
        <v>0.06</v>
      </c>
      <c r="C591" s="9">
        <v>1.6</v>
      </c>
      <c r="D591" s="5">
        <f t="shared" si="9"/>
        <v>3.7499999999999999E-2</v>
      </c>
    </row>
    <row r="592" spans="1:4" ht="16" x14ac:dyDescent="0.35">
      <c r="A592" s="8" t="s">
        <v>238</v>
      </c>
      <c r="B592" s="9">
        <v>0.28999999999999998</v>
      </c>
      <c r="C592" s="9">
        <v>1.59</v>
      </c>
      <c r="D592" s="5">
        <f t="shared" si="9"/>
        <v>0.18238993710691823</v>
      </c>
    </row>
    <row r="593" spans="1:4" ht="16" x14ac:dyDescent="0.35">
      <c r="A593" s="8" t="s">
        <v>296</v>
      </c>
      <c r="B593" s="9">
        <v>0.84</v>
      </c>
      <c r="C593" s="9">
        <v>1.58</v>
      </c>
      <c r="D593" s="5">
        <f t="shared" si="9"/>
        <v>0.53164556962025311</v>
      </c>
    </row>
    <row r="594" spans="1:4" ht="16" x14ac:dyDescent="0.35">
      <c r="A594" s="8" t="s">
        <v>384</v>
      </c>
      <c r="B594" s="9">
        <v>0.72</v>
      </c>
      <c r="C594" s="9">
        <v>1.57</v>
      </c>
      <c r="D594" s="5">
        <f t="shared" si="9"/>
        <v>0.45859872611464964</v>
      </c>
    </row>
    <row r="595" spans="1:4" ht="16" x14ac:dyDescent="0.35">
      <c r="A595" s="8" t="s">
        <v>225</v>
      </c>
      <c r="B595" s="9">
        <v>0.6</v>
      </c>
      <c r="C595" s="9">
        <v>1.57</v>
      </c>
      <c r="D595" s="5">
        <f t="shared" si="9"/>
        <v>0.38216560509554137</v>
      </c>
    </row>
    <row r="596" spans="1:4" ht="16" x14ac:dyDescent="0.35">
      <c r="A596" s="8" t="s">
        <v>330</v>
      </c>
      <c r="B596" s="9">
        <v>0.48</v>
      </c>
      <c r="C596" s="9">
        <v>1.57</v>
      </c>
      <c r="D596" s="5">
        <f t="shared" si="9"/>
        <v>0.30573248407643311</v>
      </c>
    </row>
    <row r="597" spans="1:4" ht="16" x14ac:dyDescent="0.35">
      <c r="A597" s="8" t="s">
        <v>98</v>
      </c>
      <c r="B597" s="9">
        <v>0.51</v>
      </c>
      <c r="C597" s="9">
        <v>1.55</v>
      </c>
      <c r="D597" s="5">
        <f t="shared" si="9"/>
        <v>0.32903225806451614</v>
      </c>
    </row>
    <row r="598" spans="1:4" ht="16" x14ac:dyDescent="0.35">
      <c r="A598" s="8" t="s">
        <v>75</v>
      </c>
      <c r="B598" s="9">
        <v>0.88</v>
      </c>
      <c r="C598" s="9">
        <v>1.53</v>
      </c>
      <c r="D598" s="5">
        <f t="shared" si="9"/>
        <v>0.57516339869281041</v>
      </c>
    </row>
    <row r="599" spans="1:4" ht="16" x14ac:dyDescent="0.35">
      <c r="A599" s="8" t="s">
        <v>475</v>
      </c>
      <c r="B599" s="9">
        <v>0.49</v>
      </c>
      <c r="C599" s="9">
        <v>1.53</v>
      </c>
      <c r="D599" s="5">
        <f t="shared" si="9"/>
        <v>0.3202614379084967</v>
      </c>
    </row>
    <row r="600" spans="1:4" ht="16" x14ac:dyDescent="0.35">
      <c r="A600" s="8" t="s">
        <v>470</v>
      </c>
      <c r="B600" s="9">
        <v>0.45</v>
      </c>
      <c r="C600" s="9">
        <v>1.53</v>
      </c>
      <c r="D600" s="5">
        <f t="shared" si="9"/>
        <v>0.29411764705882354</v>
      </c>
    </row>
    <row r="601" spans="1:4" ht="16" x14ac:dyDescent="0.35">
      <c r="A601" s="8" t="s">
        <v>428</v>
      </c>
      <c r="B601" s="9">
        <v>0.68</v>
      </c>
      <c r="C601" s="9">
        <v>1.52</v>
      </c>
      <c r="D601" s="5">
        <f t="shared" si="9"/>
        <v>0.44736842105263158</v>
      </c>
    </row>
    <row r="602" spans="1:4" ht="16" x14ac:dyDescent="0.35">
      <c r="A602" s="8" t="s">
        <v>470</v>
      </c>
      <c r="B602" s="9">
        <v>0.94</v>
      </c>
      <c r="C602" s="9">
        <v>1.51</v>
      </c>
      <c r="D602" s="5">
        <f t="shared" si="9"/>
        <v>0.62251655629139069</v>
      </c>
    </row>
    <row r="603" spans="1:4" ht="16" x14ac:dyDescent="0.35">
      <c r="A603" s="8" t="s">
        <v>14</v>
      </c>
      <c r="B603" s="9">
        <v>0.28999999999999998</v>
      </c>
      <c r="C603" s="9">
        <v>1.51</v>
      </c>
      <c r="D603" s="5">
        <f t="shared" si="9"/>
        <v>0.19205298013245031</v>
      </c>
    </row>
    <row r="604" spans="1:4" ht="16" x14ac:dyDescent="0.35">
      <c r="A604" s="8" t="s">
        <v>139</v>
      </c>
      <c r="B604" s="9">
        <v>1.5</v>
      </c>
      <c r="C604" s="9">
        <v>1.5</v>
      </c>
      <c r="D604" s="5">
        <f t="shared" si="9"/>
        <v>1</v>
      </c>
    </row>
    <row r="605" spans="1:4" ht="16" x14ac:dyDescent="0.35">
      <c r="A605" s="8" t="s">
        <v>243</v>
      </c>
      <c r="B605" s="9">
        <v>0.09</v>
      </c>
      <c r="C605" s="9">
        <v>1.5</v>
      </c>
      <c r="D605" s="5">
        <f t="shared" si="9"/>
        <v>0.06</v>
      </c>
    </row>
    <row r="606" spans="1:4" ht="16" x14ac:dyDescent="0.35">
      <c r="A606" s="8" t="s">
        <v>97</v>
      </c>
      <c r="B606" s="10">
        <v>0</v>
      </c>
      <c r="C606" s="9">
        <v>1.5</v>
      </c>
      <c r="D606" s="5">
        <f t="shared" si="9"/>
        <v>0</v>
      </c>
    </row>
    <row r="607" spans="1:4" ht="16" x14ac:dyDescent="0.35">
      <c r="A607" s="8" t="s">
        <v>66</v>
      </c>
      <c r="B607" s="9">
        <v>0.36</v>
      </c>
      <c r="C607" s="9">
        <v>1.49</v>
      </c>
      <c r="D607" s="5">
        <f t="shared" si="9"/>
        <v>0.24161073825503354</v>
      </c>
    </row>
    <row r="608" spans="1:4" ht="16" x14ac:dyDescent="0.35">
      <c r="A608" s="8" t="s">
        <v>224</v>
      </c>
      <c r="B608" s="9">
        <v>0.27</v>
      </c>
      <c r="C608" s="9">
        <v>1.49</v>
      </c>
      <c r="D608" s="5">
        <f t="shared" si="9"/>
        <v>0.18120805369127518</v>
      </c>
    </row>
    <row r="609" spans="1:4" ht="16" x14ac:dyDescent="0.35">
      <c r="A609" s="8" t="s">
        <v>448</v>
      </c>
      <c r="B609" s="9">
        <v>0.3</v>
      </c>
      <c r="C609" s="9">
        <v>1.47</v>
      </c>
      <c r="D609" s="5">
        <f t="shared" si="9"/>
        <v>0.20408163265306123</v>
      </c>
    </row>
    <row r="610" spans="1:4" ht="16" x14ac:dyDescent="0.35">
      <c r="A610" s="8" t="s">
        <v>130</v>
      </c>
      <c r="B610" s="9">
        <v>0.21</v>
      </c>
      <c r="C610" s="9">
        <v>1.47</v>
      </c>
      <c r="D610" s="5">
        <f t="shared" si="9"/>
        <v>0.14285714285714285</v>
      </c>
    </row>
    <row r="611" spans="1:4" ht="16" x14ac:dyDescent="0.35">
      <c r="A611" s="8" t="s">
        <v>82</v>
      </c>
      <c r="B611" s="9">
        <v>0.54</v>
      </c>
      <c r="C611" s="9">
        <v>1.46</v>
      </c>
      <c r="D611" s="5">
        <f t="shared" si="9"/>
        <v>0.36986301369863017</v>
      </c>
    </row>
    <row r="612" spans="1:4" ht="16" x14ac:dyDescent="0.35">
      <c r="A612" s="8" t="s">
        <v>190</v>
      </c>
      <c r="B612" s="9">
        <v>0.23</v>
      </c>
      <c r="C612" s="9">
        <v>1.45</v>
      </c>
      <c r="D612" s="5">
        <f t="shared" si="9"/>
        <v>0.15862068965517243</v>
      </c>
    </row>
    <row r="613" spans="1:4" ht="16" x14ac:dyDescent="0.35">
      <c r="A613" s="8" t="s">
        <v>376</v>
      </c>
      <c r="B613" s="9">
        <v>0.27</v>
      </c>
      <c r="C613" s="9">
        <v>1.44</v>
      </c>
      <c r="D613" s="5">
        <f t="shared" si="9"/>
        <v>0.18750000000000003</v>
      </c>
    </row>
    <row r="614" spans="1:4" ht="16" x14ac:dyDescent="0.35">
      <c r="A614" s="8" t="s">
        <v>81</v>
      </c>
      <c r="B614" s="9">
        <v>0.28999999999999998</v>
      </c>
      <c r="C614" s="9">
        <v>1.41</v>
      </c>
      <c r="D614" s="5">
        <f t="shared" si="9"/>
        <v>0.20567375886524822</v>
      </c>
    </row>
    <row r="615" spans="1:4" ht="16" x14ac:dyDescent="0.35">
      <c r="A615" s="8" t="s">
        <v>62</v>
      </c>
      <c r="B615" s="9">
        <v>7.0000000000000007E-2</v>
      </c>
      <c r="C615" s="9">
        <v>1.41</v>
      </c>
      <c r="D615" s="5">
        <f t="shared" si="9"/>
        <v>4.9645390070921995E-2</v>
      </c>
    </row>
    <row r="616" spans="1:4" ht="16" x14ac:dyDescent="0.35">
      <c r="A616" s="8" t="s">
        <v>247</v>
      </c>
      <c r="B616" s="9">
        <v>0.27</v>
      </c>
      <c r="C616" s="9">
        <v>1.4</v>
      </c>
      <c r="D616" s="5">
        <f t="shared" si="9"/>
        <v>0.19285714285714289</v>
      </c>
    </row>
    <row r="617" spans="1:4" ht="16" x14ac:dyDescent="0.35">
      <c r="A617" s="8" t="s">
        <v>39</v>
      </c>
      <c r="B617" s="9">
        <v>0.27</v>
      </c>
      <c r="C617" s="9">
        <v>1.4</v>
      </c>
      <c r="D617" s="5">
        <f t="shared" si="9"/>
        <v>0.19285714285714289</v>
      </c>
    </row>
    <row r="618" spans="1:4" ht="16" x14ac:dyDescent="0.35">
      <c r="A618" s="8" t="s">
        <v>180</v>
      </c>
      <c r="B618" s="9">
        <v>0.42</v>
      </c>
      <c r="C618" s="9">
        <v>1.39</v>
      </c>
      <c r="D618" s="5">
        <f t="shared" si="9"/>
        <v>0.30215827338129497</v>
      </c>
    </row>
    <row r="619" spans="1:4" ht="16" x14ac:dyDescent="0.35">
      <c r="A619" s="8" t="s">
        <v>145</v>
      </c>
      <c r="B619" s="9">
        <v>0.38</v>
      </c>
      <c r="C619" s="9">
        <v>1.38</v>
      </c>
      <c r="D619" s="5">
        <f t="shared" si="9"/>
        <v>0.27536231884057971</v>
      </c>
    </row>
    <row r="620" spans="1:4" ht="16" x14ac:dyDescent="0.35">
      <c r="A620" s="8" t="s">
        <v>373</v>
      </c>
      <c r="B620" s="9">
        <v>0.34</v>
      </c>
      <c r="C620" s="9">
        <v>1.37</v>
      </c>
      <c r="D620" s="5">
        <f t="shared" si="9"/>
        <v>0.24817518248175183</v>
      </c>
    </row>
    <row r="621" spans="1:4" ht="16" x14ac:dyDescent="0.35">
      <c r="A621" s="8" t="s">
        <v>262</v>
      </c>
      <c r="B621" s="9">
        <v>0.2</v>
      </c>
      <c r="C621" s="9">
        <v>1.37</v>
      </c>
      <c r="D621" s="5">
        <f t="shared" si="9"/>
        <v>0.145985401459854</v>
      </c>
    </row>
    <row r="622" spans="1:4" ht="16" x14ac:dyDescent="0.35">
      <c r="A622" s="8" t="s">
        <v>17</v>
      </c>
      <c r="B622" s="9">
        <v>0.53</v>
      </c>
      <c r="C622" s="9">
        <v>1.35</v>
      </c>
      <c r="D622" s="5">
        <f t="shared" si="9"/>
        <v>0.3925925925925926</v>
      </c>
    </row>
    <row r="623" spans="1:4" ht="16" x14ac:dyDescent="0.35">
      <c r="A623" s="8" t="s">
        <v>112</v>
      </c>
      <c r="B623" s="9">
        <v>0.5</v>
      </c>
      <c r="C623" s="9">
        <v>1.35</v>
      </c>
      <c r="D623" s="5">
        <f t="shared" si="9"/>
        <v>0.37037037037037035</v>
      </c>
    </row>
    <row r="624" spans="1:4" ht="16" x14ac:dyDescent="0.35">
      <c r="A624" s="8" t="s">
        <v>399</v>
      </c>
      <c r="B624" s="9">
        <v>0.27</v>
      </c>
      <c r="C624" s="9">
        <v>1.35</v>
      </c>
      <c r="D624" s="5">
        <f t="shared" si="9"/>
        <v>0.2</v>
      </c>
    </row>
    <row r="625" spans="1:4" ht="16" x14ac:dyDescent="0.35">
      <c r="A625" s="8" t="s">
        <v>303</v>
      </c>
      <c r="B625" s="9">
        <v>0.19</v>
      </c>
      <c r="C625" s="9">
        <v>1.35</v>
      </c>
      <c r="D625" s="5">
        <f t="shared" si="9"/>
        <v>0.14074074074074072</v>
      </c>
    </row>
    <row r="626" spans="1:4" ht="16" x14ac:dyDescent="0.35">
      <c r="A626" s="8" t="s">
        <v>129</v>
      </c>
      <c r="B626" s="9">
        <v>0.52</v>
      </c>
      <c r="C626" s="9">
        <v>1.34</v>
      </c>
      <c r="D626" s="5">
        <f t="shared" si="9"/>
        <v>0.38805970149253732</v>
      </c>
    </row>
    <row r="627" spans="1:4" ht="16" x14ac:dyDescent="0.35">
      <c r="A627" s="8" t="s">
        <v>86</v>
      </c>
      <c r="B627" s="9">
        <v>0.31</v>
      </c>
      <c r="C627" s="9">
        <v>1.33</v>
      </c>
      <c r="D627" s="5">
        <f t="shared" si="9"/>
        <v>0.23308270676691728</v>
      </c>
    </row>
    <row r="628" spans="1:4" ht="16" x14ac:dyDescent="0.35">
      <c r="A628" s="8" t="s">
        <v>96</v>
      </c>
      <c r="B628" s="9">
        <v>0.28000000000000003</v>
      </c>
      <c r="C628" s="9">
        <v>1.31</v>
      </c>
      <c r="D628" s="5">
        <f t="shared" si="9"/>
        <v>0.2137404580152672</v>
      </c>
    </row>
    <row r="629" spans="1:4" ht="16" x14ac:dyDescent="0.35">
      <c r="A629" s="8" t="s">
        <v>279</v>
      </c>
      <c r="B629" s="9">
        <v>0.23</v>
      </c>
      <c r="C629" s="9">
        <v>1.31</v>
      </c>
      <c r="D629" s="5">
        <f t="shared" si="9"/>
        <v>0.17557251908396945</v>
      </c>
    </row>
    <row r="630" spans="1:4" ht="16" x14ac:dyDescent="0.35">
      <c r="A630" s="8" t="s">
        <v>132</v>
      </c>
      <c r="B630" s="9">
        <v>0.17</v>
      </c>
      <c r="C630" s="9">
        <v>1.3</v>
      </c>
      <c r="D630" s="5">
        <f t="shared" si="9"/>
        <v>0.13076923076923078</v>
      </c>
    </row>
    <row r="631" spans="1:4" ht="16" x14ac:dyDescent="0.35">
      <c r="A631" s="8" t="s">
        <v>135</v>
      </c>
      <c r="B631" s="9">
        <v>1.27</v>
      </c>
      <c r="C631" s="9">
        <v>1.27</v>
      </c>
      <c r="D631" s="5">
        <f t="shared" si="9"/>
        <v>1</v>
      </c>
    </row>
    <row r="632" spans="1:4" ht="16" x14ac:dyDescent="0.35">
      <c r="A632" s="8" t="s">
        <v>367</v>
      </c>
      <c r="B632" s="9">
        <v>0.4</v>
      </c>
      <c r="C632" s="9">
        <v>1.27</v>
      </c>
      <c r="D632" s="5">
        <f t="shared" si="9"/>
        <v>0.31496062992125984</v>
      </c>
    </row>
    <row r="633" spans="1:4" ht="16" x14ac:dyDescent="0.35">
      <c r="A633" s="8" t="s">
        <v>262</v>
      </c>
      <c r="B633" s="9">
        <v>0.35</v>
      </c>
      <c r="C633" s="9">
        <v>1.27</v>
      </c>
      <c r="D633" s="5">
        <f t="shared" si="9"/>
        <v>0.27559055118110232</v>
      </c>
    </row>
    <row r="634" spans="1:4" ht="16" x14ac:dyDescent="0.35">
      <c r="A634" s="8" t="s">
        <v>469</v>
      </c>
      <c r="B634" s="10">
        <v>0</v>
      </c>
      <c r="C634" s="9">
        <v>1.27</v>
      </c>
      <c r="D634" s="5">
        <f t="shared" si="9"/>
        <v>0</v>
      </c>
    </row>
    <row r="635" spans="1:4" ht="16" x14ac:dyDescent="0.35">
      <c r="A635" s="8" t="s">
        <v>55</v>
      </c>
      <c r="B635" s="9">
        <v>0.19</v>
      </c>
      <c r="C635" s="9">
        <v>1.26</v>
      </c>
      <c r="D635" s="5">
        <f t="shared" si="9"/>
        <v>0.15079365079365079</v>
      </c>
    </row>
    <row r="636" spans="1:4" ht="16" x14ac:dyDescent="0.35">
      <c r="A636" s="8" t="s">
        <v>86</v>
      </c>
      <c r="B636" s="10">
        <v>0</v>
      </c>
      <c r="C636" s="9">
        <v>1.26</v>
      </c>
      <c r="D636" s="5">
        <f t="shared" si="9"/>
        <v>0</v>
      </c>
    </row>
    <row r="637" spans="1:4" ht="16" x14ac:dyDescent="0.35">
      <c r="A637" s="8" t="s">
        <v>395</v>
      </c>
      <c r="B637" s="10">
        <v>0</v>
      </c>
      <c r="C637" s="9">
        <v>1.26</v>
      </c>
      <c r="D637" s="5">
        <f t="shared" si="9"/>
        <v>0</v>
      </c>
    </row>
    <row r="638" spans="1:4" ht="16" x14ac:dyDescent="0.35">
      <c r="A638" s="8" t="s">
        <v>528</v>
      </c>
      <c r="B638" s="9">
        <v>0.1</v>
      </c>
      <c r="C638" s="9">
        <v>1.25</v>
      </c>
      <c r="D638" s="5">
        <f t="shared" si="9"/>
        <v>0.08</v>
      </c>
    </row>
    <row r="639" spans="1:4" ht="16" x14ac:dyDescent="0.35">
      <c r="A639" s="8" t="s">
        <v>353</v>
      </c>
      <c r="B639" s="9">
        <v>1.24</v>
      </c>
      <c r="C639" s="9">
        <v>1.24</v>
      </c>
      <c r="D639" s="5">
        <f t="shared" si="9"/>
        <v>1</v>
      </c>
    </row>
    <row r="640" spans="1:4" ht="16" x14ac:dyDescent="0.35">
      <c r="A640" s="8" t="s">
        <v>176</v>
      </c>
      <c r="B640" s="9">
        <v>0.21</v>
      </c>
      <c r="C640" s="9">
        <v>1.24</v>
      </c>
      <c r="D640" s="5">
        <f t="shared" si="9"/>
        <v>0.16935483870967741</v>
      </c>
    </row>
    <row r="641" spans="1:4" ht="16" x14ac:dyDescent="0.35">
      <c r="A641" s="8" t="s">
        <v>429</v>
      </c>
      <c r="B641" s="9">
        <v>0.41</v>
      </c>
      <c r="C641" s="9">
        <v>1.23</v>
      </c>
      <c r="D641" s="5">
        <f t="shared" si="9"/>
        <v>0.33333333333333331</v>
      </c>
    </row>
    <row r="642" spans="1:4" ht="16" x14ac:dyDescent="0.35">
      <c r="A642" s="8" t="s">
        <v>125</v>
      </c>
      <c r="B642" s="9">
        <v>0.35</v>
      </c>
      <c r="C642" s="9">
        <v>1.22</v>
      </c>
      <c r="D642" s="5">
        <f t="shared" ref="D642:D705" si="10">B642/C642</f>
        <v>0.28688524590163933</v>
      </c>
    </row>
    <row r="643" spans="1:4" ht="16" x14ac:dyDescent="0.35">
      <c r="A643" s="8" t="s">
        <v>537</v>
      </c>
      <c r="B643" s="9">
        <v>0.23</v>
      </c>
      <c r="C643" s="9">
        <v>1.22</v>
      </c>
      <c r="D643" s="5">
        <f t="shared" si="10"/>
        <v>0.18852459016393444</v>
      </c>
    </row>
    <row r="644" spans="1:4" ht="16" x14ac:dyDescent="0.35">
      <c r="A644" s="8" t="s">
        <v>101</v>
      </c>
      <c r="B644" s="9">
        <v>0.11</v>
      </c>
      <c r="C644" s="9">
        <v>1.21</v>
      </c>
      <c r="D644" s="5">
        <f t="shared" si="10"/>
        <v>9.0909090909090912E-2</v>
      </c>
    </row>
    <row r="645" spans="1:4" ht="16" x14ac:dyDescent="0.35">
      <c r="A645" s="8" t="s">
        <v>5</v>
      </c>
      <c r="B645" s="9">
        <v>0.23</v>
      </c>
      <c r="C645" s="9">
        <v>1.18</v>
      </c>
      <c r="D645" s="5">
        <f t="shared" si="10"/>
        <v>0.19491525423728814</v>
      </c>
    </row>
    <row r="646" spans="1:4" ht="16" x14ac:dyDescent="0.35">
      <c r="A646" s="8" t="s">
        <v>416</v>
      </c>
      <c r="B646" s="9">
        <v>0.52</v>
      </c>
      <c r="C646" s="9">
        <v>1.17</v>
      </c>
      <c r="D646" s="5">
        <f t="shared" si="10"/>
        <v>0.44444444444444448</v>
      </c>
    </row>
    <row r="647" spans="1:4" ht="16" x14ac:dyDescent="0.35">
      <c r="A647" s="8" t="s">
        <v>154</v>
      </c>
      <c r="B647" s="9">
        <v>0.28999999999999998</v>
      </c>
      <c r="C647" s="9">
        <v>1.17</v>
      </c>
      <c r="D647" s="5">
        <f t="shared" si="10"/>
        <v>0.24786324786324787</v>
      </c>
    </row>
    <row r="648" spans="1:4" ht="16" x14ac:dyDescent="0.35">
      <c r="A648" s="8" t="s">
        <v>69</v>
      </c>
      <c r="B648" s="9">
        <v>0.09</v>
      </c>
      <c r="C648" s="9">
        <v>1.17</v>
      </c>
      <c r="D648" s="5">
        <f t="shared" si="10"/>
        <v>7.6923076923076927E-2</v>
      </c>
    </row>
    <row r="649" spans="1:4" ht="16" x14ac:dyDescent="0.35">
      <c r="A649" s="8" t="s">
        <v>438</v>
      </c>
      <c r="B649" s="10">
        <v>0</v>
      </c>
      <c r="C649" s="9">
        <v>1.1599999999999999</v>
      </c>
      <c r="D649" s="5">
        <f t="shared" si="10"/>
        <v>0</v>
      </c>
    </row>
    <row r="650" spans="1:4" ht="16" x14ac:dyDescent="0.35">
      <c r="A650" s="8" t="s">
        <v>220</v>
      </c>
      <c r="B650" s="9">
        <v>0.3</v>
      </c>
      <c r="C650" s="9">
        <v>1.1399999999999999</v>
      </c>
      <c r="D650" s="5">
        <f t="shared" si="10"/>
        <v>0.26315789473684209</v>
      </c>
    </row>
    <row r="651" spans="1:4" ht="16" x14ac:dyDescent="0.35">
      <c r="A651" s="8" t="s">
        <v>435</v>
      </c>
      <c r="B651" s="9">
        <v>0.48</v>
      </c>
      <c r="C651" s="9">
        <v>1.1299999999999999</v>
      </c>
      <c r="D651" s="5">
        <f t="shared" si="10"/>
        <v>0.42477876106194695</v>
      </c>
    </row>
    <row r="652" spans="1:4" ht="16" x14ac:dyDescent="0.35">
      <c r="A652" s="8" t="s">
        <v>462</v>
      </c>
      <c r="B652" s="9">
        <v>0.46</v>
      </c>
      <c r="C652" s="9">
        <v>1.1299999999999999</v>
      </c>
      <c r="D652" s="5">
        <f t="shared" si="10"/>
        <v>0.40707964601769919</v>
      </c>
    </row>
    <row r="653" spans="1:4" ht="16" x14ac:dyDescent="0.35">
      <c r="A653" s="8" t="s">
        <v>148</v>
      </c>
      <c r="B653" s="9">
        <v>0.22</v>
      </c>
      <c r="C653" s="9">
        <v>1.1200000000000001</v>
      </c>
      <c r="D653" s="5">
        <f t="shared" si="10"/>
        <v>0.19642857142857142</v>
      </c>
    </row>
    <row r="654" spans="1:4" ht="16" x14ac:dyDescent="0.35">
      <c r="A654" s="8" t="s">
        <v>362</v>
      </c>
      <c r="B654" s="9">
        <v>0.18</v>
      </c>
      <c r="C654" s="9">
        <v>1.1200000000000001</v>
      </c>
      <c r="D654" s="5">
        <f t="shared" si="10"/>
        <v>0.1607142857142857</v>
      </c>
    </row>
    <row r="655" spans="1:4" ht="16" x14ac:dyDescent="0.35">
      <c r="A655" s="8" t="s">
        <v>113</v>
      </c>
      <c r="B655" s="9">
        <v>0.15</v>
      </c>
      <c r="C655" s="9">
        <v>1.1000000000000001</v>
      </c>
      <c r="D655" s="5">
        <f t="shared" si="10"/>
        <v>0.13636363636363635</v>
      </c>
    </row>
    <row r="656" spans="1:4" ht="16" x14ac:dyDescent="0.35">
      <c r="A656" s="8" t="s">
        <v>227</v>
      </c>
      <c r="B656" s="9">
        <v>0.51</v>
      </c>
      <c r="C656" s="9">
        <v>1.0900000000000001</v>
      </c>
      <c r="D656" s="5">
        <f t="shared" si="10"/>
        <v>0.4678899082568807</v>
      </c>
    </row>
    <row r="657" spans="1:4" ht="16" x14ac:dyDescent="0.35">
      <c r="A657" s="8" t="s">
        <v>257</v>
      </c>
      <c r="B657" s="10">
        <v>0</v>
      </c>
      <c r="C657" s="9">
        <v>1.0900000000000001</v>
      </c>
      <c r="D657" s="5">
        <f t="shared" si="10"/>
        <v>0</v>
      </c>
    </row>
    <row r="658" spans="1:4" ht="16" x14ac:dyDescent="0.35">
      <c r="A658" s="8" t="s">
        <v>102</v>
      </c>
      <c r="B658" s="9">
        <v>0.31</v>
      </c>
      <c r="C658" s="9">
        <v>1.08</v>
      </c>
      <c r="D658" s="5">
        <f t="shared" si="10"/>
        <v>0.28703703703703703</v>
      </c>
    </row>
    <row r="659" spans="1:4" ht="16" x14ac:dyDescent="0.35">
      <c r="A659" s="8" t="s">
        <v>436</v>
      </c>
      <c r="B659" s="9">
        <v>0.14000000000000001</v>
      </c>
      <c r="C659" s="9">
        <v>1.08</v>
      </c>
      <c r="D659" s="5">
        <f t="shared" si="10"/>
        <v>0.12962962962962962</v>
      </c>
    </row>
    <row r="660" spans="1:4" ht="16" x14ac:dyDescent="0.35">
      <c r="A660" s="8" t="s">
        <v>149</v>
      </c>
      <c r="B660" s="9">
        <v>0.25</v>
      </c>
      <c r="C660" s="9">
        <v>1.07</v>
      </c>
      <c r="D660" s="5">
        <f t="shared" si="10"/>
        <v>0.23364485981308411</v>
      </c>
    </row>
    <row r="661" spans="1:4" ht="16" x14ac:dyDescent="0.35">
      <c r="A661" s="8" t="s">
        <v>216</v>
      </c>
      <c r="B661" s="9">
        <v>0.11</v>
      </c>
      <c r="C661" s="9">
        <v>1.07</v>
      </c>
      <c r="D661" s="5">
        <f t="shared" si="10"/>
        <v>0.10280373831775701</v>
      </c>
    </row>
    <row r="662" spans="1:4" ht="16" x14ac:dyDescent="0.35">
      <c r="A662" s="8" t="s">
        <v>214</v>
      </c>
      <c r="B662" s="9">
        <v>0.18</v>
      </c>
      <c r="C662" s="9">
        <v>1.06</v>
      </c>
      <c r="D662" s="5">
        <f t="shared" si="10"/>
        <v>0.16981132075471697</v>
      </c>
    </row>
    <row r="663" spans="1:4" ht="16" x14ac:dyDescent="0.35">
      <c r="A663" s="8" t="s">
        <v>259</v>
      </c>
      <c r="B663" s="9">
        <v>0.01</v>
      </c>
      <c r="C663" s="9">
        <v>1.05</v>
      </c>
      <c r="D663" s="5">
        <f t="shared" si="10"/>
        <v>9.5238095238095229E-3</v>
      </c>
    </row>
    <row r="664" spans="1:4" ht="16" x14ac:dyDescent="0.35">
      <c r="A664" s="8" t="s">
        <v>136</v>
      </c>
      <c r="B664" s="10">
        <v>0</v>
      </c>
      <c r="C664" s="9">
        <v>1.05</v>
      </c>
      <c r="D664" s="5">
        <f t="shared" si="10"/>
        <v>0</v>
      </c>
    </row>
    <row r="665" spans="1:4" ht="16" x14ac:dyDescent="0.35">
      <c r="A665" s="8" t="s">
        <v>114</v>
      </c>
      <c r="B665" s="9">
        <v>1.04</v>
      </c>
      <c r="C665" s="9">
        <v>1.04</v>
      </c>
      <c r="D665" s="5">
        <f t="shared" si="10"/>
        <v>1</v>
      </c>
    </row>
    <row r="666" spans="1:4" ht="16" x14ac:dyDescent="0.35">
      <c r="A666" s="8" t="s">
        <v>291</v>
      </c>
      <c r="B666" s="9">
        <v>0.26</v>
      </c>
      <c r="C666" s="9">
        <v>1.04</v>
      </c>
      <c r="D666" s="5">
        <f t="shared" si="10"/>
        <v>0.25</v>
      </c>
    </row>
    <row r="667" spans="1:4" ht="16" x14ac:dyDescent="0.35">
      <c r="A667" s="8" t="s">
        <v>49</v>
      </c>
      <c r="B667" s="10">
        <v>0</v>
      </c>
      <c r="C667" s="9">
        <v>1.04</v>
      </c>
      <c r="D667" s="5">
        <f t="shared" si="10"/>
        <v>0</v>
      </c>
    </row>
    <row r="668" spans="1:4" ht="16" x14ac:dyDescent="0.35">
      <c r="A668" s="8" t="s">
        <v>140</v>
      </c>
      <c r="B668" s="9">
        <v>1.03</v>
      </c>
      <c r="C668" s="9">
        <v>1.03</v>
      </c>
      <c r="D668" s="5">
        <f t="shared" si="10"/>
        <v>1</v>
      </c>
    </row>
    <row r="669" spans="1:4" ht="16" x14ac:dyDescent="0.35">
      <c r="A669" s="8" t="s">
        <v>5</v>
      </c>
      <c r="B669" s="9">
        <v>0.22</v>
      </c>
      <c r="C669" s="9">
        <v>1.03</v>
      </c>
      <c r="D669" s="5">
        <f t="shared" si="10"/>
        <v>0.21359223300970873</v>
      </c>
    </row>
    <row r="670" spans="1:4" ht="16" x14ac:dyDescent="0.35">
      <c r="A670" s="8" t="s">
        <v>320</v>
      </c>
      <c r="B670" s="9">
        <v>0.12</v>
      </c>
      <c r="C670" s="9">
        <v>1.03</v>
      </c>
      <c r="D670" s="5">
        <f t="shared" si="10"/>
        <v>0.11650485436893203</v>
      </c>
    </row>
    <row r="671" spans="1:4" ht="16" x14ac:dyDescent="0.35">
      <c r="A671" s="8" t="s">
        <v>174</v>
      </c>
      <c r="B671" s="9">
        <v>0.47</v>
      </c>
      <c r="C671" s="10">
        <v>1</v>
      </c>
      <c r="D671" s="5">
        <f t="shared" si="10"/>
        <v>0.47</v>
      </c>
    </row>
    <row r="672" spans="1:4" ht="16" x14ac:dyDescent="0.35">
      <c r="A672" s="8" t="s">
        <v>37</v>
      </c>
      <c r="B672" s="9">
        <v>0.27</v>
      </c>
      <c r="C672" s="10">
        <v>1</v>
      </c>
      <c r="D672" s="5">
        <f t="shared" si="10"/>
        <v>0.27</v>
      </c>
    </row>
    <row r="673" spans="1:4" ht="16" x14ac:dyDescent="0.35">
      <c r="A673" s="8" t="s">
        <v>90</v>
      </c>
      <c r="B673" s="9">
        <v>0.18</v>
      </c>
      <c r="C673" s="10">
        <v>1</v>
      </c>
      <c r="D673" s="5">
        <f t="shared" si="10"/>
        <v>0.18</v>
      </c>
    </row>
    <row r="674" spans="1:4" ht="16" x14ac:dyDescent="0.35">
      <c r="A674" s="8" t="s">
        <v>143</v>
      </c>
      <c r="B674" s="9">
        <v>0.09</v>
      </c>
      <c r="C674" s="10">
        <v>1</v>
      </c>
      <c r="D674" s="5">
        <f t="shared" si="10"/>
        <v>0.09</v>
      </c>
    </row>
    <row r="675" spans="1:4" ht="16" x14ac:dyDescent="0.35">
      <c r="A675" s="8" t="s">
        <v>503</v>
      </c>
      <c r="B675" s="9">
        <v>7.0000000000000007E-2</v>
      </c>
      <c r="C675" s="10">
        <v>1</v>
      </c>
      <c r="D675" s="5">
        <f t="shared" si="10"/>
        <v>7.0000000000000007E-2</v>
      </c>
    </row>
    <row r="676" spans="1:4" ht="16" x14ac:dyDescent="0.35">
      <c r="A676" s="8" t="s">
        <v>188</v>
      </c>
      <c r="B676" s="10">
        <v>0</v>
      </c>
      <c r="C676" s="10">
        <v>1</v>
      </c>
      <c r="D676" s="5">
        <f t="shared" si="10"/>
        <v>0</v>
      </c>
    </row>
    <row r="677" spans="1:4" ht="16" x14ac:dyDescent="0.35">
      <c r="A677" s="8" t="s">
        <v>109</v>
      </c>
      <c r="B677" s="9">
        <v>0.22</v>
      </c>
      <c r="C677" s="9">
        <v>0.99</v>
      </c>
      <c r="D677" s="5">
        <f t="shared" si="10"/>
        <v>0.22222222222222224</v>
      </c>
    </row>
    <row r="678" spans="1:4" ht="16" x14ac:dyDescent="0.35">
      <c r="A678" s="8" t="s">
        <v>492</v>
      </c>
      <c r="B678" s="9">
        <v>0.08</v>
      </c>
      <c r="C678" s="9">
        <v>0.99</v>
      </c>
      <c r="D678" s="5">
        <f t="shared" si="10"/>
        <v>8.0808080808080815E-2</v>
      </c>
    </row>
    <row r="679" spans="1:4" ht="16" x14ac:dyDescent="0.35">
      <c r="A679" s="8" t="s">
        <v>556</v>
      </c>
      <c r="B679" s="10">
        <v>0</v>
      </c>
      <c r="C679" s="9">
        <v>0.98</v>
      </c>
      <c r="D679" s="5">
        <f t="shared" si="10"/>
        <v>0</v>
      </c>
    </row>
    <row r="680" spans="1:4" ht="16" x14ac:dyDescent="0.35">
      <c r="A680" s="8" t="s">
        <v>446</v>
      </c>
      <c r="B680" s="9">
        <v>0.54</v>
      </c>
      <c r="C680" s="9">
        <v>0.97</v>
      </c>
      <c r="D680" s="5">
        <f t="shared" si="10"/>
        <v>0.55670103092783507</v>
      </c>
    </row>
    <row r="681" spans="1:4" ht="16" x14ac:dyDescent="0.35">
      <c r="A681" s="8" t="s">
        <v>40</v>
      </c>
      <c r="B681" s="9">
        <v>0.43</v>
      </c>
      <c r="C681" s="9">
        <v>0.97</v>
      </c>
      <c r="D681" s="5">
        <f t="shared" si="10"/>
        <v>0.44329896907216493</v>
      </c>
    </row>
    <row r="682" spans="1:4" ht="16" x14ac:dyDescent="0.35">
      <c r="A682" s="8" t="s">
        <v>179</v>
      </c>
      <c r="B682" s="9">
        <v>0.28000000000000003</v>
      </c>
      <c r="C682" s="9">
        <v>0.97</v>
      </c>
      <c r="D682" s="5">
        <f t="shared" si="10"/>
        <v>0.28865979381443302</v>
      </c>
    </row>
    <row r="683" spans="1:4" ht="16" x14ac:dyDescent="0.35">
      <c r="A683" s="8" t="s">
        <v>358</v>
      </c>
      <c r="B683" s="9">
        <v>0.21</v>
      </c>
      <c r="C683" s="9">
        <v>0.95</v>
      </c>
      <c r="D683" s="5">
        <f t="shared" si="10"/>
        <v>0.22105263157894736</v>
      </c>
    </row>
    <row r="684" spans="1:4" ht="16" x14ac:dyDescent="0.35">
      <c r="A684" s="8" t="s">
        <v>531</v>
      </c>
      <c r="B684" s="9">
        <v>0.11</v>
      </c>
      <c r="C684" s="9">
        <v>0.95</v>
      </c>
      <c r="D684" s="5">
        <f t="shared" si="10"/>
        <v>0.11578947368421053</v>
      </c>
    </row>
    <row r="685" spans="1:4" ht="16" x14ac:dyDescent="0.35">
      <c r="A685" s="8" t="s">
        <v>96</v>
      </c>
      <c r="B685" s="9">
        <v>0.11</v>
      </c>
      <c r="C685" s="9">
        <v>0.95</v>
      </c>
      <c r="D685" s="5">
        <f t="shared" si="10"/>
        <v>0.11578947368421053</v>
      </c>
    </row>
    <row r="686" spans="1:4" ht="16" x14ac:dyDescent="0.35">
      <c r="A686" s="8" t="s">
        <v>105</v>
      </c>
      <c r="B686" s="9">
        <v>0.2</v>
      </c>
      <c r="C686" s="9">
        <v>0.94</v>
      </c>
      <c r="D686" s="5">
        <f t="shared" si="10"/>
        <v>0.21276595744680854</v>
      </c>
    </row>
    <row r="687" spans="1:4" ht="16" x14ac:dyDescent="0.35">
      <c r="A687" s="8" t="s">
        <v>105</v>
      </c>
      <c r="B687" s="9">
        <v>0.18</v>
      </c>
      <c r="C687" s="9">
        <v>0.93</v>
      </c>
      <c r="D687" s="5">
        <f t="shared" si="10"/>
        <v>0.19354838709677419</v>
      </c>
    </row>
    <row r="688" spans="1:4" ht="16" x14ac:dyDescent="0.35">
      <c r="A688" s="8" t="s">
        <v>364</v>
      </c>
      <c r="B688" s="9">
        <v>0.14000000000000001</v>
      </c>
      <c r="C688" s="9">
        <v>0.93</v>
      </c>
      <c r="D688" s="5">
        <f t="shared" si="10"/>
        <v>0.15053763440860216</v>
      </c>
    </row>
    <row r="689" spans="1:4" ht="16" x14ac:dyDescent="0.35">
      <c r="A689" s="8" t="s">
        <v>561</v>
      </c>
      <c r="B689" s="10">
        <v>0</v>
      </c>
      <c r="C689" s="9">
        <v>0.93</v>
      </c>
      <c r="D689" s="5">
        <f t="shared" si="10"/>
        <v>0</v>
      </c>
    </row>
    <row r="690" spans="1:4" ht="16" x14ac:dyDescent="0.35">
      <c r="A690" s="8" t="s">
        <v>8</v>
      </c>
      <c r="B690" s="9">
        <v>0.35</v>
      </c>
      <c r="C690" s="9">
        <v>0.92</v>
      </c>
      <c r="D690" s="5">
        <f t="shared" si="10"/>
        <v>0.38043478260869562</v>
      </c>
    </row>
    <row r="691" spans="1:4" ht="16" x14ac:dyDescent="0.35">
      <c r="A691" s="8" t="s">
        <v>516</v>
      </c>
      <c r="B691" s="9">
        <v>7.0000000000000007E-2</v>
      </c>
      <c r="C691" s="9">
        <v>0.92</v>
      </c>
      <c r="D691" s="5">
        <f t="shared" si="10"/>
        <v>7.6086956521739135E-2</v>
      </c>
    </row>
    <row r="692" spans="1:4" ht="16" x14ac:dyDescent="0.35">
      <c r="A692" s="8" t="s">
        <v>441</v>
      </c>
      <c r="B692" s="9">
        <v>0.56000000000000005</v>
      </c>
      <c r="C692" s="9">
        <v>0.9</v>
      </c>
      <c r="D692" s="5">
        <f t="shared" si="10"/>
        <v>0.62222222222222223</v>
      </c>
    </row>
    <row r="693" spans="1:4" ht="16" x14ac:dyDescent="0.35">
      <c r="A693" s="8" t="s">
        <v>463</v>
      </c>
      <c r="B693" s="9">
        <v>0.22</v>
      </c>
      <c r="C693" s="9">
        <v>0.9</v>
      </c>
      <c r="D693" s="5">
        <f t="shared" si="10"/>
        <v>0.24444444444444444</v>
      </c>
    </row>
    <row r="694" spans="1:4" ht="16" x14ac:dyDescent="0.35">
      <c r="A694" s="8" t="s">
        <v>392</v>
      </c>
      <c r="B694" s="9">
        <v>0.16</v>
      </c>
      <c r="C694" s="9">
        <v>0.9</v>
      </c>
      <c r="D694" s="5">
        <f t="shared" si="10"/>
        <v>0.17777777777777778</v>
      </c>
    </row>
    <row r="695" spans="1:4" ht="16" x14ac:dyDescent="0.35">
      <c r="A695" s="8" t="s">
        <v>353</v>
      </c>
      <c r="B695" s="9">
        <v>0.3</v>
      </c>
      <c r="C695" s="9">
        <v>0.89</v>
      </c>
      <c r="D695" s="5">
        <f t="shared" si="10"/>
        <v>0.33707865168539325</v>
      </c>
    </row>
    <row r="696" spans="1:4" ht="16" x14ac:dyDescent="0.35">
      <c r="A696" s="8" t="s">
        <v>137</v>
      </c>
      <c r="B696" s="10">
        <v>0</v>
      </c>
      <c r="C696" s="9">
        <v>0.89</v>
      </c>
      <c r="D696" s="5">
        <f t="shared" si="10"/>
        <v>0</v>
      </c>
    </row>
    <row r="697" spans="1:4" ht="16" x14ac:dyDescent="0.35">
      <c r="A697" s="8" t="s">
        <v>245</v>
      </c>
      <c r="B697" s="9">
        <v>0.53</v>
      </c>
      <c r="C697" s="9">
        <v>0.86</v>
      </c>
      <c r="D697" s="5">
        <f t="shared" si="10"/>
        <v>0.61627906976744196</v>
      </c>
    </row>
    <row r="698" spans="1:4" ht="16" x14ac:dyDescent="0.35">
      <c r="A698" s="8" t="s">
        <v>222</v>
      </c>
      <c r="B698" s="9">
        <v>0.24</v>
      </c>
      <c r="C698" s="9">
        <v>0.86</v>
      </c>
      <c r="D698" s="5">
        <f t="shared" si="10"/>
        <v>0.27906976744186046</v>
      </c>
    </row>
    <row r="699" spans="1:4" ht="16" x14ac:dyDescent="0.35">
      <c r="A699" s="8" t="s">
        <v>544</v>
      </c>
      <c r="B699" s="10">
        <v>0</v>
      </c>
      <c r="C699" s="9">
        <v>0.86</v>
      </c>
      <c r="D699" s="5">
        <f t="shared" si="10"/>
        <v>0</v>
      </c>
    </row>
    <row r="700" spans="1:4" ht="16" x14ac:dyDescent="0.35">
      <c r="A700" s="8" t="s">
        <v>487</v>
      </c>
      <c r="B700" s="9">
        <v>0.35</v>
      </c>
      <c r="C700" s="9">
        <v>0.83</v>
      </c>
      <c r="D700" s="5">
        <f t="shared" si="10"/>
        <v>0.42168674698795178</v>
      </c>
    </row>
    <row r="701" spans="1:4" ht="16" x14ac:dyDescent="0.35">
      <c r="A701" s="8" t="s">
        <v>263</v>
      </c>
      <c r="B701" s="9">
        <v>0.14000000000000001</v>
      </c>
      <c r="C701" s="9">
        <v>0.83</v>
      </c>
      <c r="D701" s="5">
        <f t="shared" si="10"/>
        <v>0.16867469879518074</v>
      </c>
    </row>
    <row r="702" spans="1:4" ht="16" x14ac:dyDescent="0.35">
      <c r="A702" s="8" t="s">
        <v>232</v>
      </c>
      <c r="B702" s="9">
        <v>0.05</v>
      </c>
      <c r="C702" s="9">
        <v>0.83</v>
      </c>
      <c r="D702" s="5">
        <f t="shared" si="10"/>
        <v>6.0240963855421693E-2</v>
      </c>
    </row>
    <row r="703" spans="1:4" ht="16" x14ac:dyDescent="0.35">
      <c r="A703" s="8" t="s">
        <v>193</v>
      </c>
      <c r="B703" s="9">
        <v>0.36</v>
      </c>
      <c r="C703" s="9">
        <v>0.81</v>
      </c>
      <c r="D703" s="5">
        <f t="shared" si="10"/>
        <v>0.44444444444444442</v>
      </c>
    </row>
    <row r="704" spans="1:4" ht="16" x14ac:dyDescent="0.35">
      <c r="A704" s="8" t="s">
        <v>3</v>
      </c>
      <c r="B704" s="9">
        <v>0.06</v>
      </c>
      <c r="C704" s="9">
        <v>0.81</v>
      </c>
      <c r="D704" s="5">
        <f t="shared" si="10"/>
        <v>7.407407407407407E-2</v>
      </c>
    </row>
    <row r="705" spans="1:4" ht="16" x14ac:dyDescent="0.35">
      <c r="A705" s="8" t="s">
        <v>393</v>
      </c>
      <c r="B705" s="9">
        <v>0.18</v>
      </c>
      <c r="C705" s="9">
        <v>0.8</v>
      </c>
      <c r="D705" s="5">
        <f t="shared" si="10"/>
        <v>0.22499999999999998</v>
      </c>
    </row>
    <row r="706" spans="1:4" ht="16" x14ac:dyDescent="0.35">
      <c r="A706" s="8" t="s">
        <v>135</v>
      </c>
      <c r="B706" s="9">
        <v>0.09</v>
      </c>
      <c r="C706" s="9">
        <v>0.8</v>
      </c>
      <c r="D706" s="5">
        <f t="shared" ref="D706:D769" si="11">B706/C706</f>
        <v>0.11249999999999999</v>
      </c>
    </row>
    <row r="707" spans="1:4" ht="16" x14ac:dyDescent="0.35">
      <c r="A707" s="8" t="s">
        <v>88</v>
      </c>
      <c r="B707" s="10">
        <v>0</v>
      </c>
      <c r="C707" s="9">
        <v>0.8</v>
      </c>
      <c r="D707" s="5">
        <f t="shared" si="11"/>
        <v>0</v>
      </c>
    </row>
    <row r="708" spans="1:4" ht="16" x14ac:dyDescent="0.35">
      <c r="A708" s="8" t="s">
        <v>515</v>
      </c>
      <c r="B708" s="10">
        <v>0</v>
      </c>
      <c r="C708" s="9">
        <v>0.8</v>
      </c>
      <c r="D708" s="5">
        <f t="shared" si="11"/>
        <v>0</v>
      </c>
    </row>
    <row r="709" spans="1:4" ht="16" x14ac:dyDescent="0.35">
      <c r="A709" s="8" t="s">
        <v>432</v>
      </c>
      <c r="B709" s="9">
        <v>0.27</v>
      </c>
      <c r="C709" s="9">
        <v>0.79</v>
      </c>
      <c r="D709" s="5">
        <f t="shared" si="11"/>
        <v>0.34177215189873417</v>
      </c>
    </row>
    <row r="710" spans="1:4" ht="16" x14ac:dyDescent="0.35">
      <c r="A710" s="8" t="s">
        <v>108</v>
      </c>
      <c r="B710" s="9">
        <v>0.15</v>
      </c>
      <c r="C710" s="9">
        <v>0.78</v>
      </c>
      <c r="D710" s="5">
        <f t="shared" si="11"/>
        <v>0.19230769230769229</v>
      </c>
    </row>
    <row r="711" spans="1:4" ht="16" x14ac:dyDescent="0.35">
      <c r="A711" s="8" t="s">
        <v>550</v>
      </c>
      <c r="B711" s="10">
        <v>0</v>
      </c>
      <c r="C711" s="9">
        <v>0.78</v>
      </c>
      <c r="D711" s="5">
        <f t="shared" si="11"/>
        <v>0</v>
      </c>
    </row>
    <row r="712" spans="1:4" ht="16" x14ac:dyDescent="0.35">
      <c r="A712" s="8" t="s">
        <v>208</v>
      </c>
      <c r="B712" s="9">
        <v>0.25</v>
      </c>
      <c r="C712" s="9">
        <v>0.77</v>
      </c>
      <c r="D712" s="5">
        <f t="shared" si="11"/>
        <v>0.32467532467532467</v>
      </c>
    </row>
    <row r="713" spans="1:4" ht="16" x14ac:dyDescent="0.35">
      <c r="A713" s="8" t="s">
        <v>169</v>
      </c>
      <c r="B713" s="9">
        <v>0.28999999999999998</v>
      </c>
      <c r="C713" s="9">
        <v>0.76</v>
      </c>
      <c r="D713" s="5">
        <f t="shared" si="11"/>
        <v>0.38157894736842102</v>
      </c>
    </row>
    <row r="714" spans="1:4" ht="16" x14ac:dyDescent="0.35">
      <c r="A714" s="8" t="s">
        <v>0</v>
      </c>
      <c r="B714" s="9">
        <v>0.2</v>
      </c>
      <c r="C714" s="9">
        <v>0.76</v>
      </c>
      <c r="D714" s="5">
        <f t="shared" si="11"/>
        <v>0.26315789473684209</v>
      </c>
    </row>
    <row r="715" spans="1:4" ht="16" x14ac:dyDescent="0.35">
      <c r="A715" s="8" t="s">
        <v>530</v>
      </c>
      <c r="B715" s="9">
        <v>0.3</v>
      </c>
      <c r="C715" s="9">
        <v>0.75</v>
      </c>
      <c r="D715" s="5">
        <f t="shared" si="11"/>
        <v>0.39999999999999997</v>
      </c>
    </row>
    <row r="716" spans="1:4" ht="16" x14ac:dyDescent="0.35">
      <c r="A716" s="8" t="s">
        <v>163</v>
      </c>
      <c r="B716" s="9">
        <v>0.14000000000000001</v>
      </c>
      <c r="C716" s="9">
        <v>0.75</v>
      </c>
      <c r="D716" s="5">
        <f t="shared" si="11"/>
        <v>0.18666666666666668</v>
      </c>
    </row>
    <row r="717" spans="1:4" ht="16" x14ac:dyDescent="0.35">
      <c r="A717" s="8" t="s">
        <v>565</v>
      </c>
      <c r="B717" s="10">
        <v>0</v>
      </c>
      <c r="C717" s="9">
        <v>0.75</v>
      </c>
      <c r="D717" s="5">
        <f t="shared" si="11"/>
        <v>0</v>
      </c>
    </row>
    <row r="718" spans="1:4" ht="16" x14ac:dyDescent="0.35">
      <c r="A718" s="8" t="s">
        <v>167</v>
      </c>
      <c r="B718" s="9">
        <v>0.72</v>
      </c>
      <c r="C718" s="9">
        <v>0.74</v>
      </c>
      <c r="D718" s="5">
        <f t="shared" si="11"/>
        <v>0.97297297297297292</v>
      </c>
    </row>
    <row r="719" spans="1:4" ht="16" x14ac:dyDescent="0.35">
      <c r="A719" s="8" t="s">
        <v>39</v>
      </c>
      <c r="B719" s="9">
        <v>0.13</v>
      </c>
      <c r="C719" s="9">
        <v>0.74</v>
      </c>
      <c r="D719" s="5">
        <f t="shared" si="11"/>
        <v>0.17567567567567569</v>
      </c>
    </row>
    <row r="720" spans="1:4" ht="16" x14ac:dyDescent="0.35">
      <c r="A720" s="8" t="s">
        <v>562</v>
      </c>
      <c r="B720" s="10">
        <v>0</v>
      </c>
      <c r="C720" s="9">
        <v>0.73</v>
      </c>
      <c r="D720" s="5">
        <f t="shared" si="11"/>
        <v>0</v>
      </c>
    </row>
    <row r="721" spans="1:4" ht="16" x14ac:dyDescent="0.35">
      <c r="A721" s="8" t="s">
        <v>174</v>
      </c>
      <c r="B721" s="9">
        <v>0.15</v>
      </c>
      <c r="C721" s="9">
        <v>0.72</v>
      </c>
      <c r="D721" s="5">
        <f t="shared" si="11"/>
        <v>0.20833333333333334</v>
      </c>
    </row>
    <row r="722" spans="1:4" ht="16" x14ac:dyDescent="0.35">
      <c r="A722" s="8" t="s">
        <v>480</v>
      </c>
      <c r="B722" s="9">
        <v>0.04</v>
      </c>
      <c r="C722" s="9">
        <v>0.72</v>
      </c>
      <c r="D722" s="5">
        <f t="shared" si="11"/>
        <v>5.5555555555555559E-2</v>
      </c>
    </row>
    <row r="723" spans="1:4" ht="16" x14ac:dyDescent="0.35">
      <c r="A723" s="8" t="s">
        <v>302</v>
      </c>
      <c r="B723" s="9">
        <v>0.48</v>
      </c>
      <c r="C723" s="9">
        <v>0.71</v>
      </c>
      <c r="D723" s="5">
        <f t="shared" si="11"/>
        <v>0.676056338028169</v>
      </c>
    </row>
    <row r="724" spans="1:4" ht="16" x14ac:dyDescent="0.35">
      <c r="A724" s="8" t="s">
        <v>458</v>
      </c>
      <c r="B724" s="9">
        <v>0.37</v>
      </c>
      <c r="C724" s="9">
        <v>0.71</v>
      </c>
      <c r="D724" s="5">
        <f t="shared" si="11"/>
        <v>0.52112676056338025</v>
      </c>
    </row>
    <row r="725" spans="1:4" ht="16" x14ac:dyDescent="0.35">
      <c r="A725" s="8" t="s">
        <v>331</v>
      </c>
      <c r="B725" s="9">
        <v>0.14000000000000001</v>
      </c>
      <c r="C725" s="9">
        <v>0.7</v>
      </c>
      <c r="D725" s="5">
        <f t="shared" si="11"/>
        <v>0.20000000000000004</v>
      </c>
    </row>
    <row r="726" spans="1:4" ht="16" x14ac:dyDescent="0.35">
      <c r="A726" s="8" t="s">
        <v>369</v>
      </c>
      <c r="B726" s="9">
        <v>0.09</v>
      </c>
      <c r="C726" s="9">
        <v>0.7</v>
      </c>
      <c r="D726" s="5">
        <f t="shared" si="11"/>
        <v>0.12857142857142859</v>
      </c>
    </row>
    <row r="727" spans="1:4" ht="16" x14ac:dyDescent="0.35">
      <c r="A727" s="8" t="s">
        <v>510</v>
      </c>
      <c r="B727" s="9">
        <v>0.09</v>
      </c>
      <c r="C727" s="9">
        <v>0.7</v>
      </c>
      <c r="D727" s="5">
        <f t="shared" si="11"/>
        <v>0.12857142857142859</v>
      </c>
    </row>
    <row r="728" spans="1:4" ht="16" x14ac:dyDescent="0.35">
      <c r="A728" s="8" t="s">
        <v>69</v>
      </c>
      <c r="B728" s="10">
        <v>0</v>
      </c>
      <c r="C728" s="9">
        <v>0.69</v>
      </c>
      <c r="D728" s="5">
        <f t="shared" si="11"/>
        <v>0</v>
      </c>
    </row>
    <row r="729" spans="1:4" ht="16" x14ac:dyDescent="0.35">
      <c r="A729" s="8" t="s">
        <v>145</v>
      </c>
      <c r="B729" s="9">
        <v>0.08</v>
      </c>
      <c r="C729" s="9">
        <v>0.68</v>
      </c>
      <c r="D729" s="5">
        <f t="shared" si="11"/>
        <v>0.11764705882352941</v>
      </c>
    </row>
    <row r="730" spans="1:4" ht="16" x14ac:dyDescent="0.35">
      <c r="A730" s="8" t="s">
        <v>489</v>
      </c>
      <c r="B730" s="10">
        <v>0</v>
      </c>
      <c r="C730" s="9">
        <v>0.68</v>
      </c>
      <c r="D730" s="5">
        <f t="shared" si="11"/>
        <v>0</v>
      </c>
    </row>
    <row r="731" spans="1:4" ht="16" x14ac:dyDescent="0.35">
      <c r="A731" s="8" t="s">
        <v>374</v>
      </c>
      <c r="B731" s="9">
        <v>0.22</v>
      </c>
      <c r="C731" s="9">
        <v>0.67</v>
      </c>
      <c r="D731" s="5">
        <f t="shared" si="11"/>
        <v>0.32835820895522388</v>
      </c>
    </row>
    <row r="732" spans="1:4" ht="16" x14ac:dyDescent="0.35">
      <c r="A732" s="8" t="s">
        <v>437</v>
      </c>
      <c r="B732" s="9">
        <v>0.18</v>
      </c>
      <c r="C732" s="9">
        <v>0.67</v>
      </c>
      <c r="D732" s="5">
        <f t="shared" si="11"/>
        <v>0.26865671641791045</v>
      </c>
    </row>
    <row r="733" spans="1:4" ht="16" x14ac:dyDescent="0.35">
      <c r="A733" s="8" t="s">
        <v>479</v>
      </c>
      <c r="B733" s="9">
        <v>0.12</v>
      </c>
      <c r="C733" s="9">
        <v>0.66</v>
      </c>
      <c r="D733" s="5">
        <f t="shared" si="11"/>
        <v>0.1818181818181818</v>
      </c>
    </row>
    <row r="734" spans="1:4" ht="16" x14ac:dyDescent="0.35">
      <c r="A734" s="8" t="s">
        <v>46</v>
      </c>
      <c r="B734" s="9">
        <v>0.05</v>
      </c>
      <c r="C734" s="9">
        <v>0.66</v>
      </c>
      <c r="D734" s="5">
        <f t="shared" si="11"/>
        <v>7.575757575757576E-2</v>
      </c>
    </row>
    <row r="735" spans="1:4" ht="16" x14ac:dyDescent="0.35">
      <c r="A735" s="8" t="s">
        <v>559</v>
      </c>
      <c r="B735" s="10">
        <v>0</v>
      </c>
      <c r="C735" s="9">
        <v>0.66</v>
      </c>
      <c r="D735" s="5">
        <f t="shared" si="11"/>
        <v>0</v>
      </c>
    </row>
    <row r="736" spans="1:4" ht="16" x14ac:dyDescent="0.35">
      <c r="A736" s="8" t="s">
        <v>388</v>
      </c>
      <c r="B736" s="9">
        <v>0.36</v>
      </c>
      <c r="C736" s="9">
        <v>0.65</v>
      </c>
      <c r="D736" s="5">
        <f t="shared" si="11"/>
        <v>0.55384615384615377</v>
      </c>
    </row>
    <row r="737" spans="1:4" ht="16" x14ac:dyDescent="0.35">
      <c r="A737" s="8" t="s">
        <v>467</v>
      </c>
      <c r="B737" s="9">
        <v>0.36</v>
      </c>
      <c r="C737" s="9">
        <v>0.63</v>
      </c>
      <c r="D737" s="5">
        <f t="shared" si="11"/>
        <v>0.5714285714285714</v>
      </c>
    </row>
    <row r="738" spans="1:4" ht="16" x14ac:dyDescent="0.35">
      <c r="A738" s="8" t="s">
        <v>382</v>
      </c>
      <c r="B738" s="9">
        <v>0.25</v>
      </c>
      <c r="C738" s="9">
        <v>0.63</v>
      </c>
      <c r="D738" s="5">
        <f t="shared" si="11"/>
        <v>0.3968253968253968</v>
      </c>
    </row>
    <row r="739" spans="1:4" ht="16" x14ac:dyDescent="0.35">
      <c r="A739" s="8" t="s">
        <v>35</v>
      </c>
      <c r="B739" s="9">
        <v>0.2</v>
      </c>
      <c r="C739" s="9">
        <v>0.63</v>
      </c>
      <c r="D739" s="5">
        <f t="shared" si="11"/>
        <v>0.3174603174603175</v>
      </c>
    </row>
    <row r="740" spans="1:4" ht="16" x14ac:dyDescent="0.35">
      <c r="A740" s="8" t="s">
        <v>343</v>
      </c>
      <c r="B740" s="9">
        <v>0.04</v>
      </c>
      <c r="C740" s="9">
        <v>0.63</v>
      </c>
      <c r="D740" s="5">
        <f t="shared" si="11"/>
        <v>6.3492063492063489E-2</v>
      </c>
    </row>
    <row r="741" spans="1:4" ht="16" x14ac:dyDescent="0.35">
      <c r="A741" s="8" t="s">
        <v>445</v>
      </c>
      <c r="B741" s="9">
        <v>0.01</v>
      </c>
      <c r="C741" s="9">
        <v>0.63</v>
      </c>
      <c r="D741" s="5">
        <f t="shared" si="11"/>
        <v>1.5873015873015872E-2</v>
      </c>
    </row>
    <row r="742" spans="1:4" ht="16" x14ac:dyDescent="0.35">
      <c r="A742" s="8" t="s">
        <v>274</v>
      </c>
      <c r="B742" s="10">
        <v>0</v>
      </c>
      <c r="C742" s="9">
        <v>0.63</v>
      </c>
      <c r="D742" s="5">
        <f t="shared" si="11"/>
        <v>0</v>
      </c>
    </row>
    <row r="743" spans="1:4" ht="16" x14ac:dyDescent="0.35">
      <c r="A743" s="8" t="s">
        <v>173</v>
      </c>
      <c r="B743" s="9">
        <v>0.13</v>
      </c>
      <c r="C743" s="9">
        <v>0.62</v>
      </c>
      <c r="D743" s="5">
        <f t="shared" si="11"/>
        <v>0.20967741935483872</v>
      </c>
    </row>
    <row r="744" spans="1:4" ht="16" x14ac:dyDescent="0.35">
      <c r="A744" s="8" t="s">
        <v>514</v>
      </c>
      <c r="B744" s="9">
        <v>7.0000000000000007E-2</v>
      </c>
      <c r="C744" s="9">
        <v>0.62</v>
      </c>
      <c r="D744" s="5">
        <f t="shared" si="11"/>
        <v>0.11290322580645162</v>
      </c>
    </row>
    <row r="745" spans="1:4" ht="16" x14ac:dyDescent="0.35">
      <c r="A745" s="8" t="s">
        <v>21</v>
      </c>
      <c r="B745" s="9">
        <v>0.02</v>
      </c>
      <c r="C745" s="9">
        <v>0.62</v>
      </c>
      <c r="D745" s="5">
        <f t="shared" si="11"/>
        <v>3.2258064516129031E-2</v>
      </c>
    </row>
    <row r="746" spans="1:4" ht="16" x14ac:dyDescent="0.35">
      <c r="A746" s="8" t="s">
        <v>389</v>
      </c>
      <c r="B746" s="9">
        <v>0.06</v>
      </c>
      <c r="C746" s="9">
        <v>0.61</v>
      </c>
      <c r="D746" s="5">
        <f t="shared" si="11"/>
        <v>9.8360655737704916E-2</v>
      </c>
    </row>
    <row r="747" spans="1:4" ht="16" x14ac:dyDescent="0.35">
      <c r="A747" s="8" t="s">
        <v>22</v>
      </c>
      <c r="B747" s="10">
        <v>0</v>
      </c>
      <c r="C747" s="9">
        <v>0.61</v>
      </c>
      <c r="D747" s="5">
        <f t="shared" si="11"/>
        <v>0</v>
      </c>
    </row>
    <row r="748" spans="1:4" ht="16" x14ac:dyDescent="0.35">
      <c r="A748" s="8" t="s">
        <v>295</v>
      </c>
      <c r="B748" s="10">
        <v>0</v>
      </c>
      <c r="C748" s="9">
        <v>0.57999999999999996</v>
      </c>
      <c r="D748" s="5">
        <f t="shared" si="11"/>
        <v>0</v>
      </c>
    </row>
    <row r="749" spans="1:4" ht="16" x14ac:dyDescent="0.35">
      <c r="A749" s="8" t="s">
        <v>196</v>
      </c>
      <c r="B749" s="10">
        <v>0</v>
      </c>
      <c r="C749" s="9">
        <v>0.56999999999999995</v>
      </c>
      <c r="D749" s="5">
        <f t="shared" si="11"/>
        <v>0</v>
      </c>
    </row>
    <row r="750" spans="1:4" ht="16" x14ac:dyDescent="0.35">
      <c r="A750" s="8" t="s">
        <v>75</v>
      </c>
      <c r="B750" s="9">
        <v>0.19</v>
      </c>
      <c r="C750" s="9">
        <v>0.56000000000000005</v>
      </c>
      <c r="D750" s="5">
        <f t="shared" si="11"/>
        <v>0.33928571428571425</v>
      </c>
    </row>
    <row r="751" spans="1:4" ht="16" x14ac:dyDescent="0.35">
      <c r="A751" s="8" t="s">
        <v>488</v>
      </c>
      <c r="B751" s="9">
        <v>0.14000000000000001</v>
      </c>
      <c r="C751" s="9">
        <v>0.56000000000000005</v>
      </c>
      <c r="D751" s="5">
        <f t="shared" si="11"/>
        <v>0.25</v>
      </c>
    </row>
    <row r="752" spans="1:4" ht="16" x14ac:dyDescent="0.35">
      <c r="A752" s="8" t="s">
        <v>283</v>
      </c>
      <c r="B752" s="10">
        <v>0</v>
      </c>
      <c r="C752" s="9">
        <v>0.56000000000000005</v>
      </c>
      <c r="D752" s="5">
        <f t="shared" si="11"/>
        <v>0</v>
      </c>
    </row>
    <row r="753" spans="1:4" ht="16" x14ac:dyDescent="0.35">
      <c r="A753" s="8" t="s">
        <v>235</v>
      </c>
      <c r="B753" s="9">
        <v>0.11</v>
      </c>
      <c r="C753" s="9">
        <v>0.54</v>
      </c>
      <c r="D753" s="5">
        <f t="shared" si="11"/>
        <v>0.20370370370370369</v>
      </c>
    </row>
    <row r="754" spans="1:4" ht="16" x14ac:dyDescent="0.35">
      <c r="A754" s="8" t="s">
        <v>391</v>
      </c>
      <c r="B754" s="10">
        <v>0</v>
      </c>
      <c r="C754" s="9">
        <v>0.54</v>
      </c>
      <c r="D754" s="5">
        <f t="shared" si="11"/>
        <v>0</v>
      </c>
    </row>
    <row r="755" spans="1:4" ht="16" x14ac:dyDescent="0.35">
      <c r="A755" s="8" t="s">
        <v>478</v>
      </c>
      <c r="B755" s="9">
        <v>0.24</v>
      </c>
      <c r="C755" s="9">
        <v>0.53</v>
      </c>
      <c r="D755" s="5">
        <f t="shared" si="11"/>
        <v>0.45283018867924524</v>
      </c>
    </row>
    <row r="756" spans="1:4" ht="16" x14ac:dyDescent="0.35">
      <c r="A756" s="8" t="s">
        <v>123</v>
      </c>
      <c r="B756" s="9">
        <v>0.21</v>
      </c>
      <c r="C756" s="9">
        <v>0.53</v>
      </c>
      <c r="D756" s="5">
        <f t="shared" si="11"/>
        <v>0.39622641509433959</v>
      </c>
    </row>
    <row r="757" spans="1:4" ht="16" x14ac:dyDescent="0.35">
      <c r="A757" s="8" t="s">
        <v>298</v>
      </c>
      <c r="B757" s="9">
        <v>0.14000000000000001</v>
      </c>
      <c r="C757" s="9">
        <v>0.52</v>
      </c>
      <c r="D757" s="5">
        <f t="shared" si="11"/>
        <v>0.26923076923076927</v>
      </c>
    </row>
    <row r="758" spans="1:4" ht="16" x14ac:dyDescent="0.35">
      <c r="A758" s="8" t="s">
        <v>297</v>
      </c>
      <c r="B758" s="9">
        <v>0.04</v>
      </c>
      <c r="C758" s="9">
        <v>0.52</v>
      </c>
      <c r="D758" s="5">
        <f t="shared" si="11"/>
        <v>7.6923076923076927E-2</v>
      </c>
    </row>
    <row r="759" spans="1:4" ht="16" x14ac:dyDescent="0.35">
      <c r="A759" s="8" t="s">
        <v>494</v>
      </c>
      <c r="B759" s="10">
        <v>0</v>
      </c>
      <c r="C759" s="9">
        <v>0.52</v>
      </c>
      <c r="D759" s="5">
        <f t="shared" si="11"/>
        <v>0</v>
      </c>
    </row>
    <row r="760" spans="1:4" ht="16" x14ac:dyDescent="0.35">
      <c r="A760" s="8" t="s">
        <v>158</v>
      </c>
      <c r="B760" s="9">
        <v>0.31</v>
      </c>
      <c r="C760" s="9">
        <v>0.5</v>
      </c>
      <c r="D760" s="5">
        <f t="shared" si="11"/>
        <v>0.62</v>
      </c>
    </row>
    <row r="761" spans="1:4" ht="16" x14ac:dyDescent="0.35">
      <c r="A761" s="8" t="s">
        <v>564</v>
      </c>
      <c r="B761" s="10">
        <v>0</v>
      </c>
      <c r="C761" s="9">
        <v>0.5</v>
      </c>
      <c r="D761" s="5">
        <f t="shared" si="11"/>
        <v>0</v>
      </c>
    </row>
    <row r="762" spans="1:4" ht="16" x14ac:dyDescent="0.35">
      <c r="A762" s="8" t="s">
        <v>403</v>
      </c>
      <c r="B762" s="9">
        <v>0.08</v>
      </c>
      <c r="C762" s="9">
        <v>0.48</v>
      </c>
      <c r="D762" s="5">
        <f t="shared" si="11"/>
        <v>0.16666666666666669</v>
      </c>
    </row>
    <row r="763" spans="1:4" ht="16" x14ac:dyDescent="0.35">
      <c r="A763" s="8" t="s">
        <v>290</v>
      </c>
      <c r="B763" s="9">
        <v>0.28000000000000003</v>
      </c>
      <c r="C763" s="9">
        <v>0.47</v>
      </c>
      <c r="D763" s="5">
        <f t="shared" si="11"/>
        <v>0.59574468085106391</v>
      </c>
    </row>
    <row r="764" spans="1:4" ht="16" x14ac:dyDescent="0.35">
      <c r="A764" s="8" t="s">
        <v>49</v>
      </c>
      <c r="B764" s="9">
        <v>0.18</v>
      </c>
      <c r="C764" s="9">
        <v>0.46</v>
      </c>
      <c r="D764" s="5">
        <f t="shared" si="11"/>
        <v>0.39130434782608692</v>
      </c>
    </row>
    <row r="765" spans="1:4" ht="16" x14ac:dyDescent="0.35">
      <c r="A765" s="8" t="s">
        <v>116</v>
      </c>
      <c r="B765" s="9">
        <v>0.06</v>
      </c>
      <c r="C765" s="9">
        <v>0.46</v>
      </c>
      <c r="D765" s="5">
        <f t="shared" si="11"/>
        <v>0.13043478260869565</v>
      </c>
    </row>
    <row r="766" spans="1:4" ht="16" x14ac:dyDescent="0.35">
      <c r="A766" s="8" t="s">
        <v>394</v>
      </c>
      <c r="B766" s="10">
        <v>0</v>
      </c>
      <c r="C766" s="9">
        <v>0.46</v>
      </c>
      <c r="D766" s="5">
        <f t="shared" si="11"/>
        <v>0</v>
      </c>
    </row>
    <row r="767" spans="1:4" ht="16" x14ac:dyDescent="0.35">
      <c r="A767" s="8" t="s">
        <v>55</v>
      </c>
      <c r="B767" s="9">
        <v>0.3</v>
      </c>
      <c r="C767" s="9">
        <v>0.44</v>
      </c>
      <c r="D767" s="5">
        <f t="shared" si="11"/>
        <v>0.68181818181818177</v>
      </c>
    </row>
    <row r="768" spans="1:4" ht="16" x14ac:dyDescent="0.35">
      <c r="A768" s="8" t="s">
        <v>56</v>
      </c>
      <c r="B768" s="9">
        <v>0.06</v>
      </c>
      <c r="C768" s="9">
        <v>0.44</v>
      </c>
      <c r="D768" s="5">
        <f t="shared" si="11"/>
        <v>0.13636363636363635</v>
      </c>
    </row>
    <row r="769" spans="1:4" ht="16" x14ac:dyDescent="0.35">
      <c r="A769" s="8" t="s">
        <v>455</v>
      </c>
      <c r="B769" s="9">
        <v>0.05</v>
      </c>
      <c r="C769" s="9">
        <v>0.44</v>
      </c>
      <c r="D769" s="5">
        <f t="shared" si="11"/>
        <v>0.11363636363636365</v>
      </c>
    </row>
    <row r="770" spans="1:4" ht="16" x14ac:dyDescent="0.35">
      <c r="A770" s="8" t="s">
        <v>439</v>
      </c>
      <c r="B770" s="10">
        <v>0</v>
      </c>
      <c r="C770" s="9">
        <v>0.44</v>
      </c>
      <c r="D770" s="5">
        <f t="shared" ref="D770:D833" si="12">B770/C770</f>
        <v>0</v>
      </c>
    </row>
    <row r="771" spans="1:4" ht="16" x14ac:dyDescent="0.35">
      <c r="A771" s="8" t="s">
        <v>118</v>
      </c>
      <c r="B771" s="9">
        <v>0.13</v>
      </c>
      <c r="C771" s="9">
        <v>0.43</v>
      </c>
      <c r="D771" s="5">
        <f t="shared" si="12"/>
        <v>0.30232558139534887</v>
      </c>
    </row>
    <row r="772" spans="1:4" ht="16" x14ac:dyDescent="0.35">
      <c r="A772" s="8" t="s">
        <v>209</v>
      </c>
      <c r="B772" s="10">
        <v>0</v>
      </c>
      <c r="C772" s="9">
        <v>0.43</v>
      </c>
      <c r="D772" s="5">
        <f t="shared" si="12"/>
        <v>0</v>
      </c>
    </row>
    <row r="773" spans="1:4" ht="16" x14ac:dyDescent="0.35">
      <c r="A773" s="8" t="s">
        <v>356</v>
      </c>
      <c r="B773" s="10">
        <v>0</v>
      </c>
      <c r="C773" s="9">
        <v>0.43</v>
      </c>
      <c r="D773" s="5">
        <f t="shared" si="12"/>
        <v>0</v>
      </c>
    </row>
    <row r="774" spans="1:4" ht="16" x14ac:dyDescent="0.35">
      <c r="A774" s="8" t="s">
        <v>247</v>
      </c>
      <c r="B774" s="9">
        <v>0.16</v>
      </c>
      <c r="C774" s="9">
        <v>0.41</v>
      </c>
      <c r="D774" s="5">
        <f t="shared" si="12"/>
        <v>0.3902439024390244</v>
      </c>
    </row>
    <row r="775" spans="1:4" ht="16" x14ac:dyDescent="0.35">
      <c r="A775" s="8" t="s">
        <v>425</v>
      </c>
      <c r="B775" s="9">
        <v>0.05</v>
      </c>
      <c r="C775" s="9">
        <v>0.41</v>
      </c>
      <c r="D775" s="5">
        <f t="shared" si="12"/>
        <v>0.12195121951219513</v>
      </c>
    </row>
    <row r="776" spans="1:4" ht="16" x14ac:dyDescent="0.35">
      <c r="A776" s="8" t="s">
        <v>412</v>
      </c>
      <c r="B776" s="10">
        <v>0</v>
      </c>
      <c r="C776" s="9">
        <v>0.41</v>
      </c>
      <c r="D776" s="5">
        <f t="shared" si="12"/>
        <v>0</v>
      </c>
    </row>
    <row r="777" spans="1:4" ht="16" x14ac:dyDescent="0.35">
      <c r="A777" s="8" t="s">
        <v>378</v>
      </c>
      <c r="B777" s="10">
        <v>0</v>
      </c>
      <c r="C777" s="9">
        <v>0.41</v>
      </c>
      <c r="D777" s="5">
        <f t="shared" si="12"/>
        <v>0</v>
      </c>
    </row>
    <row r="778" spans="1:4" ht="16" x14ac:dyDescent="0.35">
      <c r="A778" s="8" t="s">
        <v>78</v>
      </c>
      <c r="B778" s="9">
        <v>0.05</v>
      </c>
      <c r="C778" s="9">
        <v>0.4</v>
      </c>
      <c r="D778" s="5">
        <f t="shared" si="12"/>
        <v>0.125</v>
      </c>
    </row>
    <row r="779" spans="1:4" ht="16" x14ac:dyDescent="0.35">
      <c r="A779" s="8" t="s">
        <v>553</v>
      </c>
      <c r="B779" s="10">
        <v>0</v>
      </c>
      <c r="C779" s="9">
        <v>0.39</v>
      </c>
      <c r="D779" s="5">
        <f t="shared" si="12"/>
        <v>0</v>
      </c>
    </row>
    <row r="780" spans="1:4" ht="16" x14ac:dyDescent="0.35">
      <c r="A780" s="8" t="s">
        <v>409</v>
      </c>
      <c r="B780" s="10">
        <v>0</v>
      </c>
      <c r="C780" s="9">
        <v>0.38</v>
      </c>
      <c r="D780" s="5">
        <f t="shared" si="12"/>
        <v>0</v>
      </c>
    </row>
    <row r="781" spans="1:4" ht="16" x14ac:dyDescent="0.35">
      <c r="A781" s="8" t="s">
        <v>533</v>
      </c>
      <c r="B781" s="9">
        <v>0.13</v>
      </c>
      <c r="C781" s="9">
        <v>0.36</v>
      </c>
      <c r="D781" s="5">
        <f t="shared" si="12"/>
        <v>0.36111111111111116</v>
      </c>
    </row>
    <row r="782" spans="1:4" ht="16" x14ac:dyDescent="0.35">
      <c r="A782" s="8" t="s">
        <v>490</v>
      </c>
      <c r="B782" s="10">
        <v>0</v>
      </c>
      <c r="C782" s="9">
        <v>0.36</v>
      </c>
      <c r="D782" s="5">
        <f t="shared" si="12"/>
        <v>0</v>
      </c>
    </row>
    <row r="783" spans="1:4" ht="16" x14ac:dyDescent="0.35">
      <c r="A783" s="8" t="s">
        <v>421</v>
      </c>
      <c r="B783" s="9">
        <v>0.23</v>
      </c>
      <c r="C783" s="9">
        <v>0.35</v>
      </c>
      <c r="D783" s="5">
        <f t="shared" si="12"/>
        <v>0.65714285714285725</v>
      </c>
    </row>
    <row r="784" spans="1:4" ht="16" x14ac:dyDescent="0.35">
      <c r="A784" s="8" t="s">
        <v>396</v>
      </c>
      <c r="B784" s="10">
        <v>0</v>
      </c>
      <c r="C784" s="9">
        <v>0.35</v>
      </c>
      <c r="D784" s="5">
        <f t="shared" si="12"/>
        <v>0</v>
      </c>
    </row>
    <row r="785" spans="1:4" ht="16" x14ac:dyDescent="0.35">
      <c r="A785" s="8" t="s">
        <v>136</v>
      </c>
      <c r="B785" s="9">
        <v>0.12</v>
      </c>
      <c r="C785" s="9">
        <v>0.33</v>
      </c>
      <c r="D785" s="5">
        <f t="shared" si="12"/>
        <v>0.36363636363636359</v>
      </c>
    </row>
    <row r="786" spans="1:4" ht="16" x14ac:dyDescent="0.35">
      <c r="A786" s="8" t="s">
        <v>546</v>
      </c>
      <c r="B786" s="9">
        <v>0.06</v>
      </c>
      <c r="C786" s="9">
        <v>0.33</v>
      </c>
      <c r="D786" s="5">
        <f t="shared" si="12"/>
        <v>0.1818181818181818</v>
      </c>
    </row>
    <row r="787" spans="1:4" ht="16" x14ac:dyDescent="0.35">
      <c r="A787" s="8" t="s">
        <v>253</v>
      </c>
      <c r="B787" s="10">
        <v>0</v>
      </c>
      <c r="C787" s="9">
        <v>0.32</v>
      </c>
      <c r="D787" s="5">
        <f t="shared" si="12"/>
        <v>0</v>
      </c>
    </row>
    <row r="788" spans="1:4" ht="16" x14ac:dyDescent="0.35">
      <c r="A788" s="8" t="s">
        <v>64</v>
      </c>
      <c r="B788" s="9">
        <v>0.09</v>
      </c>
      <c r="C788" s="9">
        <v>0.31</v>
      </c>
      <c r="D788" s="5">
        <f t="shared" si="12"/>
        <v>0.29032258064516125</v>
      </c>
    </row>
    <row r="789" spans="1:4" ht="16" x14ac:dyDescent="0.35">
      <c r="A789" s="8" t="s">
        <v>87</v>
      </c>
      <c r="B789" s="10">
        <v>0</v>
      </c>
      <c r="C789" s="9">
        <v>0.31</v>
      </c>
      <c r="D789" s="5">
        <f t="shared" si="12"/>
        <v>0</v>
      </c>
    </row>
    <row r="790" spans="1:4" ht="16" x14ac:dyDescent="0.35">
      <c r="A790" s="8" t="s">
        <v>35</v>
      </c>
      <c r="B790" s="10">
        <v>0</v>
      </c>
      <c r="C790" s="9">
        <v>0.31</v>
      </c>
      <c r="D790" s="5">
        <f t="shared" si="12"/>
        <v>0</v>
      </c>
    </row>
    <row r="791" spans="1:4" ht="16" x14ac:dyDescent="0.35">
      <c r="A791" s="8" t="s">
        <v>110</v>
      </c>
      <c r="B791" s="10">
        <v>0</v>
      </c>
      <c r="C791" s="9">
        <v>0.3</v>
      </c>
      <c r="D791" s="5">
        <f t="shared" si="12"/>
        <v>0</v>
      </c>
    </row>
    <row r="792" spans="1:4" ht="16" x14ac:dyDescent="0.35">
      <c r="A792" s="8" t="s">
        <v>347</v>
      </c>
      <c r="B792" s="10">
        <v>0</v>
      </c>
      <c r="C792" s="9">
        <v>0.3</v>
      </c>
      <c r="D792" s="5">
        <f t="shared" si="12"/>
        <v>0</v>
      </c>
    </row>
    <row r="793" spans="1:4" ht="16" x14ac:dyDescent="0.35">
      <c r="A793" s="8" t="s">
        <v>229</v>
      </c>
      <c r="B793" s="10">
        <v>0</v>
      </c>
      <c r="C793" s="9">
        <v>0.28999999999999998</v>
      </c>
      <c r="D793" s="5">
        <f t="shared" si="12"/>
        <v>0</v>
      </c>
    </row>
    <row r="794" spans="1:4" ht="16" x14ac:dyDescent="0.35">
      <c r="A794" s="8" t="s">
        <v>278</v>
      </c>
      <c r="B794" s="9">
        <v>0.21</v>
      </c>
      <c r="C794" s="9">
        <v>0.28000000000000003</v>
      </c>
      <c r="D794" s="5">
        <f t="shared" si="12"/>
        <v>0.74999999999999989</v>
      </c>
    </row>
    <row r="795" spans="1:4" ht="16" x14ac:dyDescent="0.35">
      <c r="A795" s="8" t="s">
        <v>545</v>
      </c>
      <c r="B795" s="9">
        <v>0.2</v>
      </c>
      <c r="C795" s="9">
        <v>0.27</v>
      </c>
      <c r="D795" s="5">
        <f t="shared" si="12"/>
        <v>0.7407407407407407</v>
      </c>
    </row>
    <row r="796" spans="1:4" ht="16" x14ac:dyDescent="0.35">
      <c r="A796" s="8" t="s">
        <v>33</v>
      </c>
      <c r="B796" s="9">
        <v>0.04</v>
      </c>
      <c r="C796" s="9">
        <v>0.27</v>
      </c>
      <c r="D796" s="5">
        <f t="shared" si="12"/>
        <v>0.14814814814814814</v>
      </c>
    </row>
    <row r="797" spans="1:4" ht="16" x14ac:dyDescent="0.35">
      <c r="A797" s="8" t="s">
        <v>232</v>
      </c>
      <c r="B797" s="10">
        <v>0</v>
      </c>
      <c r="C797" s="9">
        <v>0.27</v>
      </c>
      <c r="D797" s="5">
        <f t="shared" si="12"/>
        <v>0</v>
      </c>
    </row>
    <row r="798" spans="1:4" ht="16" x14ac:dyDescent="0.35">
      <c r="A798" s="8" t="s">
        <v>67</v>
      </c>
      <c r="B798" s="9">
        <v>0.25</v>
      </c>
      <c r="C798" s="9">
        <v>0.25</v>
      </c>
      <c r="D798" s="5">
        <f t="shared" si="12"/>
        <v>1</v>
      </c>
    </row>
    <row r="799" spans="1:4" ht="16" x14ac:dyDescent="0.35">
      <c r="A799" s="8" t="s">
        <v>267</v>
      </c>
      <c r="B799" s="9">
        <v>0.11</v>
      </c>
      <c r="C799" s="9">
        <v>0.25</v>
      </c>
      <c r="D799" s="5">
        <f t="shared" si="12"/>
        <v>0.44</v>
      </c>
    </row>
    <row r="800" spans="1:4" ht="16" x14ac:dyDescent="0.35">
      <c r="A800" s="8" t="s">
        <v>336</v>
      </c>
      <c r="B800" s="10">
        <v>0</v>
      </c>
      <c r="C800" s="9">
        <v>0.25</v>
      </c>
      <c r="D800" s="5">
        <f t="shared" si="12"/>
        <v>0</v>
      </c>
    </row>
    <row r="801" spans="1:4" ht="16" x14ac:dyDescent="0.35">
      <c r="A801" s="8" t="s">
        <v>251</v>
      </c>
      <c r="B801" s="9">
        <v>0.08</v>
      </c>
      <c r="C801" s="9">
        <v>0.24</v>
      </c>
      <c r="D801" s="5">
        <f t="shared" si="12"/>
        <v>0.33333333333333337</v>
      </c>
    </row>
    <row r="802" spans="1:4" ht="16" x14ac:dyDescent="0.35">
      <c r="A802" s="8" t="s">
        <v>508</v>
      </c>
      <c r="B802" s="10">
        <v>0</v>
      </c>
      <c r="C802" s="9">
        <v>0.24</v>
      </c>
      <c r="D802" s="5">
        <f t="shared" si="12"/>
        <v>0</v>
      </c>
    </row>
    <row r="803" spans="1:4" ht="16" x14ac:dyDescent="0.35">
      <c r="A803" s="8" t="s">
        <v>192</v>
      </c>
      <c r="B803" s="10">
        <v>0</v>
      </c>
      <c r="C803" s="9">
        <v>0.23</v>
      </c>
      <c r="D803" s="5">
        <f t="shared" si="12"/>
        <v>0</v>
      </c>
    </row>
    <row r="804" spans="1:4" ht="16" x14ac:dyDescent="0.35">
      <c r="A804" s="8" t="s">
        <v>153</v>
      </c>
      <c r="B804" s="9">
        <v>0.04</v>
      </c>
      <c r="C804" s="9">
        <v>0.21</v>
      </c>
      <c r="D804" s="5">
        <f t="shared" si="12"/>
        <v>0.19047619047619049</v>
      </c>
    </row>
    <row r="805" spans="1:4" ht="16" x14ac:dyDescent="0.35">
      <c r="A805" s="8" t="s">
        <v>68</v>
      </c>
      <c r="B805" s="10">
        <v>0</v>
      </c>
      <c r="C805" s="9">
        <v>0.21</v>
      </c>
      <c r="D805" s="5">
        <f t="shared" si="12"/>
        <v>0</v>
      </c>
    </row>
    <row r="806" spans="1:4" ht="16" x14ac:dyDescent="0.35">
      <c r="A806" s="8" t="s">
        <v>414</v>
      </c>
      <c r="B806" s="10">
        <v>0</v>
      </c>
      <c r="C806" s="9">
        <v>0.21</v>
      </c>
      <c r="D806" s="5">
        <f t="shared" si="12"/>
        <v>0</v>
      </c>
    </row>
    <row r="807" spans="1:4" ht="16" x14ac:dyDescent="0.35">
      <c r="A807" s="8" t="s">
        <v>558</v>
      </c>
      <c r="B807" s="10">
        <v>0</v>
      </c>
      <c r="C807" s="9">
        <v>0.2</v>
      </c>
      <c r="D807" s="5">
        <f t="shared" si="12"/>
        <v>0</v>
      </c>
    </row>
    <row r="808" spans="1:4" ht="16" x14ac:dyDescent="0.35">
      <c r="A808" s="8" t="s">
        <v>490</v>
      </c>
      <c r="B808" s="9">
        <v>0.09</v>
      </c>
      <c r="C808" s="9">
        <v>0.19</v>
      </c>
      <c r="D808" s="5">
        <f t="shared" si="12"/>
        <v>0.47368421052631576</v>
      </c>
    </row>
    <row r="809" spans="1:4" ht="16" x14ac:dyDescent="0.35">
      <c r="A809" s="8" t="s">
        <v>338</v>
      </c>
      <c r="B809" s="10">
        <v>0</v>
      </c>
      <c r="C809" s="9">
        <v>0.19</v>
      </c>
      <c r="D809" s="5">
        <f t="shared" si="12"/>
        <v>0</v>
      </c>
    </row>
    <row r="810" spans="1:4" ht="16" x14ac:dyDescent="0.35">
      <c r="A810" s="8" t="s">
        <v>419</v>
      </c>
      <c r="B810" s="10">
        <v>0</v>
      </c>
      <c r="C810" s="9">
        <v>0.19</v>
      </c>
      <c r="D810" s="5">
        <f t="shared" si="12"/>
        <v>0</v>
      </c>
    </row>
    <row r="811" spans="1:4" ht="16" x14ac:dyDescent="0.35">
      <c r="A811" s="8" t="s">
        <v>53</v>
      </c>
      <c r="B811" s="9">
        <v>0.04</v>
      </c>
      <c r="C811" s="9">
        <v>0.18</v>
      </c>
      <c r="D811" s="5">
        <f t="shared" si="12"/>
        <v>0.22222222222222224</v>
      </c>
    </row>
    <row r="812" spans="1:4" ht="16" x14ac:dyDescent="0.35">
      <c r="A812" s="8" t="s">
        <v>117</v>
      </c>
      <c r="B812" s="10">
        <v>0</v>
      </c>
      <c r="C812" s="9">
        <v>0.18</v>
      </c>
      <c r="D812" s="5">
        <f t="shared" si="12"/>
        <v>0</v>
      </c>
    </row>
    <row r="813" spans="1:4" ht="16" x14ac:dyDescent="0.35">
      <c r="A813" s="8" t="s">
        <v>32</v>
      </c>
      <c r="B813" s="10">
        <v>0</v>
      </c>
      <c r="C813" s="9">
        <v>0.18</v>
      </c>
      <c r="D813" s="5">
        <f t="shared" si="12"/>
        <v>0</v>
      </c>
    </row>
    <row r="814" spans="1:4" ht="16" x14ac:dyDescent="0.35">
      <c r="A814" s="8" t="s">
        <v>170</v>
      </c>
      <c r="B814" s="10">
        <v>0</v>
      </c>
      <c r="C814" s="9">
        <v>0.16</v>
      </c>
      <c r="D814" s="5">
        <f t="shared" si="12"/>
        <v>0</v>
      </c>
    </row>
    <row r="815" spans="1:4" ht="16" x14ac:dyDescent="0.35">
      <c r="A815" s="8" t="s">
        <v>375</v>
      </c>
      <c r="B815" s="10">
        <v>0</v>
      </c>
      <c r="C815" s="9">
        <v>0.15</v>
      </c>
      <c r="D815" s="5">
        <f t="shared" si="12"/>
        <v>0</v>
      </c>
    </row>
    <row r="816" spans="1:4" ht="16" x14ac:dyDescent="0.35">
      <c r="A816" s="8" t="s">
        <v>460</v>
      </c>
      <c r="B816" s="10">
        <v>0</v>
      </c>
      <c r="C816" s="9">
        <v>0.15</v>
      </c>
      <c r="D816" s="5">
        <f t="shared" si="12"/>
        <v>0</v>
      </c>
    </row>
    <row r="817" spans="1:4" ht="16" x14ac:dyDescent="0.35">
      <c r="A817" s="8" t="s">
        <v>459</v>
      </c>
      <c r="B817" s="10">
        <v>0</v>
      </c>
      <c r="C817" s="9">
        <v>0.12</v>
      </c>
      <c r="D817" s="5">
        <f t="shared" si="12"/>
        <v>0</v>
      </c>
    </row>
    <row r="818" spans="1:4" ht="16" x14ac:dyDescent="0.35">
      <c r="A818" s="8" t="s">
        <v>57</v>
      </c>
      <c r="B818" s="9">
        <v>0.08</v>
      </c>
      <c r="C818" s="9">
        <v>0.11</v>
      </c>
      <c r="D818" s="5">
        <f t="shared" si="12"/>
        <v>0.72727272727272729</v>
      </c>
    </row>
    <row r="819" spans="1:4" ht="16" x14ac:dyDescent="0.35">
      <c r="A819" s="8" t="s">
        <v>361</v>
      </c>
      <c r="B819" s="10">
        <v>0</v>
      </c>
      <c r="C819" s="9">
        <v>0.11</v>
      </c>
      <c r="D819" s="5">
        <f t="shared" si="12"/>
        <v>0</v>
      </c>
    </row>
    <row r="820" spans="1:4" ht="16" x14ac:dyDescent="0.35">
      <c r="A820" s="8" t="s">
        <v>449</v>
      </c>
      <c r="B820" s="10">
        <v>0</v>
      </c>
      <c r="C820" s="9">
        <v>0.09</v>
      </c>
      <c r="D820" s="5">
        <f t="shared" si="12"/>
        <v>0</v>
      </c>
    </row>
    <row r="821" spans="1:4" ht="16" x14ac:dyDescent="0.35">
      <c r="A821" s="8" t="s">
        <v>150</v>
      </c>
      <c r="B821" s="10">
        <v>0</v>
      </c>
      <c r="C821" s="9">
        <v>0.09</v>
      </c>
      <c r="D821" s="5">
        <f t="shared" si="12"/>
        <v>0</v>
      </c>
    </row>
    <row r="822" spans="1:4" ht="16" x14ac:dyDescent="0.35">
      <c r="A822" s="8" t="s">
        <v>70</v>
      </c>
      <c r="B822" s="10">
        <v>0</v>
      </c>
      <c r="C822" s="9">
        <v>0.09</v>
      </c>
      <c r="D822" s="5">
        <f t="shared" si="12"/>
        <v>0</v>
      </c>
    </row>
    <row r="823" spans="1:4" ht="16" x14ac:dyDescent="0.35">
      <c r="A823" s="8" t="s">
        <v>563</v>
      </c>
      <c r="B823" s="10">
        <v>0</v>
      </c>
      <c r="C823" s="9">
        <v>0.09</v>
      </c>
      <c r="D823" s="5">
        <f t="shared" si="12"/>
        <v>0</v>
      </c>
    </row>
    <row r="824" spans="1:4" ht="16" x14ac:dyDescent="0.35">
      <c r="A824" s="8" t="s">
        <v>474</v>
      </c>
      <c r="B824" s="10">
        <v>0</v>
      </c>
      <c r="C824" s="9">
        <v>0.09</v>
      </c>
      <c r="D824" s="5">
        <f t="shared" si="12"/>
        <v>0</v>
      </c>
    </row>
    <row r="825" spans="1:4" ht="16" x14ac:dyDescent="0.35">
      <c r="A825" s="8" t="s">
        <v>228</v>
      </c>
      <c r="B825" s="10">
        <v>0</v>
      </c>
      <c r="C825" s="9">
        <v>0.08</v>
      </c>
      <c r="D825" s="5">
        <f t="shared" si="12"/>
        <v>0</v>
      </c>
    </row>
    <row r="826" spans="1:4" ht="16" x14ac:dyDescent="0.35">
      <c r="A826" s="8" t="s">
        <v>143</v>
      </c>
      <c r="B826" s="10">
        <v>0</v>
      </c>
      <c r="C826" s="9">
        <v>0.08</v>
      </c>
      <c r="D826" s="5">
        <f t="shared" si="12"/>
        <v>0</v>
      </c>
    </row>
    <row r="827" spans="1:4" ht="16" x14ac:dyDescent="0.35">
      <c r="A827" s="8" t="s">
        <v>72</v>
      </c>
      <c r="B827" s="10">
        <v>0</v>
      </c>
      <c r="C827" s="9">
        <v>0.08</v>
      </c>
      <c r="D827" s="5">
        <f t="shared" si="12"/>
        <v>0</v>
      </c>
    </row>
    <row r="828" spans="1:4" ht="16" x14ac:dyDescent="0.35">
      <c r="A828" s="8" t="s">
        <v>420</v>
      </c>
      <c r="B828" s="10">
        <v>0</v>
      </c>
      <c r="C828" s="9">
        <v>7.0000000000000007E-2</v>
      </c>
      <c r="D828" s="5">
        <f t="shared" si="12"/>
        <v>0</v>
      </c>
    </row>
    <row r="829" spans="1:4" ht="16" x14ac:dyDescent="0.35">
      <c r="A829" s="8" t="s">
        <v>395</v>
      </c>
      <c r="B829" s="10">
        <v>0</v>
      </c>
      <c r="C829" s="9">
        <v>0.06</v>
      </c>
      <c r="D829" s="5">
        <f t="shared" si="12"/>
        <v>0</v>
      </c>
    </row>
    <row r="830" spans="1:4" ht="16" x14ac:dyDescent="0.35">
      <c r="A830" s="8" t="s">
        <v>129</v>
      </c>
      <c r="B830" s="10">
        <v>0</v>
      </c>
      <c r="C830" s="9">
        <v>0.05</v>
      </c>
      <c r="D830" s="5">
        <f t="shared" si="12"/>
        <v>0</v>
      </c>
    </row>
    <row r="831" spans="1:4" ht="16" x14ac:dyDescent="0.35">
      <c r="A831" s="8" t="s">
        <v>360</v>
      </c>
      <c r="B831" s="10">
        <v>0</v>
      </c>
      <c r="C831" s="9">
        <v>0.05</v>
      </c>
      <c r="D831" s="5">
        <f t="shared" si="12"/>
        <v>0</v>
      </c>
    </row>
    <row r="832" spans="1:4" ht="16" x14ac:dyDescent="0.35">
      <c r="A832" s="8" t="s">
        <v>307</v>
      </c>
      <c r="B832" s="10">
        <v>0</v>
      </c>
      <c r="C832" s="9">
        <v>0.05</v>
      </c>
      <c r="D832" s="5">
        <f t="shared" si="12"/>
        <v>0</v>
      </c>
    </row>
    <row r="833" spans="1:4" ht="16" x14ac:dyDescent="0.35">
      <c r="A833" s="8" t="s">
        <v>26</v>
      </c>
      <c r="B833" s="10">
        <v>0</v>
      </c>
      <c r="C833" s="9">
        <v>0.05</v>
      </c>
      <c r="D833" s="5">
        <f t="shared" si="12"/>
        <v>0</v>
      </c>
    </row>
    <row r="834" spans="1:4" ht="16" x14ac:dyDescent="0.35">
      <c r="A834" s="8" t="s">
        <v>10</v>
      </c>
      <c r="B834" s="10">
        <v>0</v>
      </c>
      <c r="C834" s="9">
        <v>0.05</v>
      </c>
      <c r="D834" s="5">
        <f t="shared" ref="D834:D836" si="13">B834/C834</f>
        <v>0</v>
      </c>
    </row>
    <row r="835" spans="1:4" ht="16" x14ac:dyDescent="0.35">
      <c r="A835" s="8" t="s">
        <v>71</v>
      </c>
      <c r="B835" s="10">
        <v>0</v>
      </c>
      <c r="C835" s="9">
        <v>0.03</v>
      </c>
      <c r="D835" s="5">
        <f t="shared" si="13"/>
        <v>0</v>
      </c>
    </row>
    <row r="836" spans="1:4" ht="16" x14ac:dyDescent="0.35">
      <c r="A836" s="8" t="s">
        <v>463</v>
      </c>
      <c r="B836" s="10">
        <v>0</v>
      </c>
      <c r="C836" s="9">
        <v>0.02</v>
      </c>
      <c r="D836" s="5">
        <f t="shared" si="13"/>
        <v>0</v>
      </c>
    </row>
  </sheetData>
  <autoFilter ref="A1:D1" xr:uid="{CE1F4CF6-26A3-422E-B07A-3BF4BF14615D}">
    <sortState xmlns:xlrd2="http://schemas.microsoft.com/office/spreadsheetml/2017/richdata2" ref="A2:D836">
      <sortCondition descending="1" ref="C1"/>
    </sortState>
  </autoFilter>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069362-A82E-4205-A295-1C85CF1AA013}">
  <dimension ref="A3:B14"/>
  <sheetViews>
    <sheetView zoomScale="80" zoomScaleNormal="80" workbookViewId="0">
      <selection activeCell="C22" sqref="C22"/>
    </sheetView>
  </sheetViews>
  <sheetFormatPr defaultRowHeight="14.5" x14ac:dyDescent="0.35"/>
  <cols>
    <col min="1" max="1" width="13.36328125" bestFit="1" customWidth="1"/>
    <col min="2" max="2" width="21.54296875" bestFit="1" customWidth="1"/>
    <col min="3" max="3" width="22.08984375" bestFit="1" customWidth="1"/>
  </cols>
  <sheetData>
    <row r="3" spans="1:2" x14ac:dyDescent="0.35">
      <c r="A3" s="18" t="s">
        <v>575</v>
      </c>
      <c r="B3" t="s">
        <v>662</v>
      </c>
    </row>
    <row r="4" spans="1:2" x14ac:dyDescent="0.35">
      <c r="A4" s="19" t="s">
        <v>146</v>
      </c>
      <c r="B4" s="17">
        <v>4</v>
      </c>
    </row>
    <row r="5" spans="1:2" x14ac:dyDescent="0.35">
      <c r="A5" s="19" t="s">
        <v>606</v>
      </c>
      <c r="B5" s="17">
        <v>6</v>
      </c>
    </row>
    <row r="6" spans="1:2" x14ac:dyDescent="0.35">
      <c r="A6" s="19" t="s">
        <v>591</v>
      </c>
      <c r="B6" s="17">
        <v>5</v>
      </c>
    </row>
    <row r="7" spans="1:2" x14ac:dyDescent="0.35">
      <c r="A7" s="19" t="s">
        <v>289</v>
      </c>
      <c r="B7" s="17">
        <v>4</v>
      </c>
    </row>
    <row r="8" spans="1:2" x14ac:dyDescent="0.35">
      <c r="A8" s="19" t="s">
        <v>300</v>
      </c>
      <c r="B8" s="17">
        <v>4</v>
      </c>
    </row>
    <row r="9" spans="1:2" x14ac:dyDescent="0.35">
      <c r="A9" s="19" t="s">
        <v>398</v>
      </c>
      <c r="B9" s="17">
        <v>5</v>
      </c>
    </row>
    <row r="10" spans="1:2" x14ac:dyDescent="0.35">
      <c r="A10" s="19" t="s">
        <v>452</v>
      </c>
      <c r="B10" s="17">
        <v>4</v>
      </c>
    </row>
    <row r="11" spans="1:2" x14ac:dyDescent="0.35">
      <c r="A11" s="19" t="s">
        <v>614</v>
      </c>
      <c r="B11" s="17">
        <v>4</v>
      </c>
    </row>
    <row r="12" spans="1:2" x14ac:dyDescent="0.35">
      <c r="A12" s="19" t="s">
        <v>472</v>
      </c>
      <c r="B12" s="17">
        <v>4</v>
      </c>
    </row>
    <row r="13" spans="1:2" x14ac:dyDescent="0.35">
      <c r="A13" s="19" t="s">
        <v>10</v>
      </c>
      <c r="B13" s="17">
        <v>4</v>
      </c>
    </row>
    <row r="14" spans="1:2" x14ac:dyDescent="0.35">
      <c r="A14" s="19" t="s">
        <v>576</v>
      </c>
      <c r="B14" s="17">
        <v>44</v>
      </c>
    </row>
  </sheetData>
  <pageMargins left="0.7" right="0.7" top="0.75" bottom="0.75" header="0.3" footer="0.3"/>
  <pageSetup paperSize="9" orientation="portrait"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A93599-EC7E-44AE-89AB-1092D48316C3}">
  <dimension ref="A3:B34"/>
  <sheetViews>
    <sheetView topLeftCell="A2" zoomScale="70" zoomScaleNormal="70" workbookViewId="0">
      <selection activeCell="A17" sqref="A17"/>
    </sheetView>
  </sheetViews>
  <sheetFormatPr defaultRowHeight="14.5" x14ac:dyDescent="0.35"/>
  <cols>
    <col min="1" max="1" width="21.453125" bestFit="1" customWidth="1"/>
    <col min="2" max="2" width="20.90625" bestFit="1" customWidth="1"/>
  </cols>
  <sheetData>
    <row r="3" spans="1:2" x14ac:dyDescent="0.35">
      <c r="A3" s="18" t="s">
        <v>575</v>
      </c>
      <c r="B3" t="s">
        <v>662</v>
      </c>
    </row>
    <row r="4" spans="1:2" x14ac:dyDescent="0.35">
      <c r="A4" s="19" t="s">
        <v>597</v>
      </c>
      <c r="B4" s="17">
        <v>13</v>
      </c>
    </row>
    <row r="5" spans="1:2" x14ac:dyDescent="0.35">
      <c r="A5" s="19" t="s">
        <v>611</v>
      </c>
      <c r="B5" s="17">
        <v>14</v>
      </c>
    </row>
    <row r="6" spans="1:2" x14ac:dyDescent="0.35">
      <c r="A6" s="19" t="s">
        <v>595</v>
      </c>
      <c r="B6" s="17">
        <v>3</v>
      </c>
    </row>
    <row r="7" spans="1:2" x14ac:dyDescent="0.35">
      <c r="A7" s="19" t="s">
        <v>588</v>
      </c>
      <c r="B7" s="17">
        <v>28</v>
      </c>
    </row>
    <row r="8" spans="1:2" x14ac:dyDescent="0.35">
      <c r="A8" s="19" t="s">
        <v>603</v>
      </c>
      <c r="B8" s="17">
        <v>10</v>
      </c>
    </row>
    <row r="9" spans="1:2" x14ac:dyDescent="0.35">
      <c r="A9" s="19" t="s">
        <v>592</v>
      </c>
      <c r="B9" s="17">
        <v>6</v>
      </c>
    </row>
    <row r="10" spans="1:2" x14ac:dyDescent="0.35">
      <c r="A10" s="19" t="s">
        <v>620</v>
      </c>
      <c r="B10" s="17">
        <v>4</v>
      </c>
    </row>
    <row r="11" spans="1:2" x14ac:dyDescent="0.35">
      <c r="A11" s="19" t="s">
        <v>601</v>
      </c>
      <c r="B11" s="17">
        <v>1</v>
      </c>
    </row>
    <row r="12" spans="1:2" x14ac:dyDescent="0.35">
      <c r="A12" s="19" t="s">
        <v>599</v>
      </c>
      <c r="B12" s="17">
        <v>14</v>
      </c>
    </row>
    <row r="13" spans="1:2" x14ac:dyDescent="0.35">
      <c r="A13" s="19" t="s">
        <v>587</v>
      </c>
      <c r="B13" s="17">
        <v>3</v>
      </c>
    </row>
    <row r="14" spans="1:2" x14ac:dyDescent="0.35">
      <c r="A14" s="19" t="s">
        <v>607</v>
      </c>
      <c r="B14" s="17">
        <v>10</v>
      </c>
    </row>
    <row r="15" spans="1:2" x14ac:dyDescent="0.35">
      <c r="A15" s="19" t="s">
        <v>615</v>
      </c>
      <c r="B15" s="17">
        <v>1</v>
      </c>
    </row>
    <row r="16" spans="1:2" x14ac:dyDescent="0.35">
      <c r="A16" s="19" t="s">
        <v>605</v>
      </c>
      <c r="B16" s="17">
        <v>1</v>
      </c>
    </row>
    <row r="17" spans="1:2" x14ac:dyDescent="0.35">
      <c r="A17" s="19" t="s">
        <v>608</v>
      </c>
      <c r="B17" s="17">
        <v>10</v>
      </c>
    </row>
    <row r="18" spans="1:2" x14ac:dyDescent="0.35">
      <c r="A18" s="19" t="s">
        <v>604</v>
      </c>
      <c r="B18" s="17">
        <v>1</v>
      </c>
    </row>
    <row r="19" spans="1:2" x14ac:dyDescent="0.35">
      <c r="A19" s="19" t="s">
        <v>593</v>
      </c>
      <c r="B19" s="17">
        <v>6</v>
      </c>
    </row>
    <row r="20" spans="1:2" x14ac:dyDescent="0.35">
      <c r="A20" s="19" t="s">
        <v>630</v>
      </c>
      <c r="B20" s="17">
        <v>3</v>
      </c>
    </row>
    <row r="21" spans="1:2" x14ac:dyDescent="0.35">
      <c r="A21" s="19" t="s">
        <v>589</v>
      </c>
      <c r="B21" s="17">
        <v>11</v>
      </c>
    </row>
    <row r="22" spans="1:2" x14ac:dyDescent="0.35">
      <c r="A22" s="19" t="s">
        <v>622</v>
      </c>
      <c r="B22" s="17">
        <v>22</v>
      </c>
    </row>
    <row r="23" spans="1:2" x14ac:dyDescent="0.35">
      <c r="A23" s="19" t="s">
        <v>624</v>
      </c>
      <c r="B23" s="17">
        <v>16</v>
      </c>
    </row>
    <row r="24" spans="1:2" x14ac:dyDescent="0.35">
      <c r="A24" s="19" t="s">
        <v>619</v>
      </c>
      <c r="B24" s="17">
        <v>41</v>
      </c>
    </row>
    <row r="25" spans="1:2" x14ac:dyDescent="0.35">
      <c r="A25" s="19" t="s">
        <v>602</v>
      </c>
      <c r="B25" s="17">
        <v>7</v>
      </c>
    </row>
    <row r="26" spans="1:2" x14ac:dyDescent="0.35">
      <c r="A26" s="19" t="s">
        <v>625</v>
      </c>
      <c r="B26" s="17">
        <v>4</v>
      </c>
    </row>
    <row r="27" spans="1:2" x14ac:dyDescent="0.35">
      <c r="A27" s="19" t="s">
        <v>655</v>
      </c>
      <c r="B27" s="17">
        <v>1</v>
      </c>
    </row>
    <row r="28" spans="1:2" x14ac:dyDescent="0.35">
      <c r="A28" s="19" t="s">
        <v>594</v>
      </c>
      <c r="B28" s="17">
        <v>15</v>
      </c>
    </row>
    <row r="29" spans="1:2" x14ac:dyDescent="0.35">
      <c r="A29" s="19" t="s">
        <v>616</v>
      </c>
      <c r="B29" s="17">
        <v>30</v>
      </c>
    </row>
    <row r="30" spans="1:2" x14ac:dyDescent="0.35">
      <c r="A30" s="19" t="s">
        <v>590</v>
      </c>
      <c r="B30" s="17">
        <v>25</v>
      </c>
    </row>
    <row r="31" spans="1:2" x14ac:dyDescent="0.35">
      <c r="A31" s="19" t="s">
        <v>586</v>
      </c>
      <c r="B31" s="17">
        <v>25</v>
      </c>
    </row>
    <row r="32" spans="1:2" x14ac:dyDescent="0.35">
      <c r="A32" s="19" t="s">
        <v>610</v>
      </c>
      <c r="B32" s="17">
        <v>8</v>
      </c>
    </row>
    <row r="33" spans="1:2" x14ac:dyDescent="0.35">
      <c r="A33" s="19" t="s">
        <v>645</v>
      </c>
      <c r="B33" s="17">
        <v>2</v>
      </c>
    </row>
    <row r="34" spans="1:2" x14ac:dyDescent="0.35">
      <c r="A34" s="19" t="s">
        <v>576</v>
      </c>
      <c r="B34" s="17">
        <v>335</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96B16E-CBAE-4B9B-9386-72D160B0ADE9}">
  <dimension ref="A3:B40"/>
  <sheetViews>
    <sheetView zoomScale="71" workbookViewId="0">
      <selection activeCell="B11" sqref="B11"/>
    </sheetView>
  </sheetViews>
  <sheetFormatPr defaultRowHeight="14.5" x14ac:dyDescent="0.35"/>
  <cols>
    <col min="1" max="1" width="21.6328125" bestFit="1" customWidth="1"/>
    <col min="2" max="3" width="18.54296875" bestFit="1" customWidth="1"/>
  </cols>
  <sheetData>
    <row r="3" spans="1:2" x14ac:dyDescent="0.35">
      <c r="A3" s="18" t="s">
        <v>575</v>
      </c>
      <c r="B3" t="s">
        <v>664</v>
      </c>
    </row>
    <row r="4" spans="1:2" x14ac:dyDescent="0.35">
      <c r="A4" s="19" t="s">
        <v>617</v>
      </c>
      <c r="B4" s="17">
        <v>1</v>
      </c>
    </row>
    <row r="5" spans="1:2" x14ac:dyDescent="0.35">
      <c r="A5" s="19" t="s">
        <v>644</v>
      </c>
      <c r="B5" s="17">
        <v>4</v>
      </c>
    </row>
    <row r="6" spans="1:2" x14ac:dyDescent="0.35">
      <c r="A6" s="19" t="s">
        <v>641</v>
      </c>
      <c r="B6" s="17">
        <v>5</v>
      </c>
    </row>
    <row r="7" spans="1:2" x14ac:dyDescent="0.35">
      <c r="A7" s="19" t="s">
        <v>643</v>
      </c>
      <c r="B7" s="17">
        <v>3</v>
      </c>
    </row>
    <row r="8" spans="1:2" x14ac:dyDescent="0.35">
      <c r="A8" s="19" t="s">
        <v>597</v>
      </c>
      <c r="B8" s="17">
        <v>6</v>
      </c>
    </row>
    <row r="9" spans="1:2" x14ac:dyDescent="0.35">
      <c r="A9" s="19" t="s">
        <v>611</v>
      </c>
      <c r="B9" s="17">
        <v>9</v>
      </c>
    </row>
    <row r="10" spans="1:2" x14ac:dyDescent="0.35">
      <c r="A10" s="19" t="s">
        <v>626</v>
      </c>
      <c r="B10" s="17">
        <v>8</v>
      </c>
    </row>
    <row r="11" spans="1:2" x14ac:dyDescent="0.35">
      <c r="A11" s="19" t="s">
        <v>588</v>
      </c>
      <c r="B11" s="17">
        <v>53</v>
      </c>
    </row>
    <row r="12" spans="1:2" x14ac:dyDescent="0.35">
      <c r="A12" s="19" t="s">
        <v>603</v>
      </c>
      <c r="B12" s="17">
        <v>7</v>
      </c>
    </row>
    <row r="13" spans="1:2" x14ac:dyDescent="0.35">
      <c r="A13" s="19" t="s">
        <v>592</v>
      </c>
      <c r="B13" s="17">
        <v>1</v>
      </c>
    </row>
    <row r="14" spans="1:2" x14ac:dyDescent="0.35">
      <c r="A14" s="19" t="s">
        <v>621</v>
      </c>
      <c r="B14" s="17">
        <v>4</v>
      </c>
    </row>
    <row r="15" spans="1:2" x14ac:dyDescent="0.35">
      <c r="A15" s="19" t="s">
        <v>620</v>
      </c>
      <c r="B15" s="17">
        <v>1</v>
      </c>
    </row>
    <row r="16" spans="1:2" x14ac:dyDescent="0.35">
      <c r="A16" s="19" t="s">
        <v>587</v>
      </c>
      <c r="B16" s="17">
        <v>1</v>
      </c>
    </row>
    <row r="17" spans="1:2" x14ac:dyDescent="0.35">
      <c r="A17" s="19" t="s">
        <v>607</v>
      </c>
      <c r="B17" s="17">
        <v>1</v>
      </c>
    </row>
    <row r="18" spans="1:2" x14ac:dyDescent="0.35">
      <c r="A18" s="19" t="s">
        <v>605</v>
      </c>
      <c r="B18" s="17">
        <v>2</v>
      </c>
    </row>
    <row r="19" spans="1:2" x14ac:dyDescent="0.35">
      <c r="A19" s="19" t="s">
        <v>612</v>
      </c>
      <c r="B19" s="17">
        <v>12</v>
      </c>
    </row>
    <row r="20" spans="1:2" x14ac:dyDescent="0.35">
      <c r="A20" s="19" t="s">
        <v>608</v>
      </c>
      <c r="B20" s="17">
        <v>12</v>
      </c>
    </row>
    <row r="21" spans="1:2" x14ac:dyDescent="0.35">
      <c r="A21" s="19" t="s">
        <v>623</v>
      </c>
      <c r="B21" s="17">
        <v>3</v>
      </c>
    </row>
    <row r="22" spans="1:2" x14ac:dyDescent="0.35">
      <c r="A22" s="19" t="s">
        <v>589</v>
      </c>
      <c r="B22" s="17">
        <v>2</v>
      </c>
    </row>
    <row r="23" spans="1:2" x14ac:dyDescent="0.35">
      <c r="A23" s="19" t="s">
        <v>622</v>
      </c>
      <c r="B23" s="17">
        <v>15</v>
      </c>
    </row>
    <row r="24" spans="1:2" x14ac:dyDescent="0.35">
      <c r="A24" s="19" t="s">
        <v>636</v>
      </c>
      <c r="B24" s="17">
        <v>8</v>
      </c>
    </row>
    <row r="25" spans="1:2" x14ac:dyDescent="0.35">
      <c r="A25" s="19" t="s">
        <v>651</v>
      </c>
      <c r="B25" s="17">
        <v>2</v>
      </c>
    </row>
    <row r="26" spans="1:2" x14ac:dyDescent="0.35">
      <c r="A26" s="19" t="s">
        <v>624</v>
      </c>
      <c r="B26" s="17">
        <v>6</v>
      </c>
    </row>
    <row r="27" spans="1:2" x14ac:dyDescent="0.35">
      <c r="A27" s="19" t="s">
        <v>648</v>
      </c>
      <c r="B27" s="17">
        <v>3</v>
      </c>
    </row>
    <row r="28" spans="1:2" x14ac:dyDescent="0.35">
      <c r="A28" s="19" t="s">
        <v>619</v>
      </c>
      <c r="B28" s="17">
        <v>8</v>
      </c>
    </row>
    <row r="29" spans="1:2" x14ac:dyDescent="0.35">
      <c r="A29" s="19" t="s">
        <v>639</v>
      </c>
      <c r="B29" s="17">
        <v>1</v>
      </c>
    </row>
    <row r="30" spans="1:2" x14ac:dyDescent="0.35">
      <c r="A30" s="19" t="s">
        <v>602</v>
      </c>
      <c r="B30" s="17">
        <v>14</v>
      </c>
    </row>
    <row r="31" spans="1:2" x14ac:dyDescent="0.35">
      <c r="A31" s="19" t="s">
        <v>628</v>
      </c>
      <c r="B31" s="17">
        <v>4</v>
      </c>
    </row>
    <row r="32" spans="1:2" x14ac:dyDescent="0.35">
      <c r="A32" s="19" t="s">
        <v>631</v>
      </c>
      <c r="B32" s="17">
        <v>1</v>
      </c>
    </row>
    <row r="33" spans="1:2" x14ac:dyDescent="0.35">
      <c r="A33" s="19" t="s">
        <v>637</v>
      </c>
      <c r="B33" s="17">
        <v>22</v>
      </c>
    </row>
    <row r="34" spans="1:2" x14ac:dyDescent="0.35">
      <c r="A34" s="19" t="s">
        <v>625</v>
      </c>
      <c r="B34" s="17">
        <v>2</v>
      </c>
    </row>
    <row r="35" spans="1:2" x14ac:dyDescent="0.35">
      <c r="A35" s="19" t="s">
        <v>594</v>
      </c>
      <c r="B35" s="17">
        <v>2</v>
      </c>
    </row>
    <row r="36" spans="1:2" x14ac:dyDescent="0.35">
      <c r="A36" s="19" t="s">
        <v>616</v>
      </c>
      <c r="B36" s="17">
        <v>14</v>
      </c>
    </row>
    <row r="37" spans="1:2" x14ac:dyDescent="0.35">
      <c r="A37" s="19" t="s">
        <v>650</v>
      </c>
      <c r="B37" s="17">
        <v>1</v>
      </c>
    </row>
    <row r="38" spans="1:2" x14ac:dyDescent="0.35">
      <c r="A38" s="19" t="s">
        <v>590</v>
      </c>
      <c r="B38" s="17">
        <v>24</v>
      </c>
    </row>
    <row r="39" spans="1:2" x14ac:dyDescent="0.35">
      <c r="A39" s="19" t="s">
        <v>586</v>
      </c>
      <c r="B39" s="17">
        <v>73</v>
      </c>
    </row>
    <row r="40" spans="1:2" x14ac:dyDescent="0.35">
      <c r="A40" s="19" t="s">
        <v>576</v>
      </c>
      <c r="B40" s="17">
        <v>335</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8E6A01-785A-40E1-A599-D681D7266EFB}">
  <sheetPr filterMode="1"/>
  <dimension ref="A1:C336"/>
  <sheetViews>
    <sheetView tabSelected="1" topLeftCell="A77" workbookViewId="0">
      <selection activeCell="J95" sqref="J95"/>
    </sheetView>
  </sheetViews>
  <sheetFormatPr defaultRowHeight="13.5" x14ac:dyDescent="0.3"/>
  <cols>
    <col min="1" max="1" width="11.54296875" style="30" bestFit="1" customWidth="1"/>
    <col min="2" max="2" width="24.54296875" style="30" customWidth="1"/>
    <col min="3" max="3" width="25.6328125" style="30" bestFit="1" customWidth="1"/>
    <col min="4" max="16384" width="8.7265625" style="30"/>
  </cols>
  <sheetData>
    <row r="1" spans="1:3" x14ac:dyDescent="0.3">
      <c r="A1" s="31" t="s">
        <v>583</v>
      </c>
      <c r="B1" s="32" t="s">
        <v>584</v>
      </c>
      <c r="C1" s="32" t="s">
        <v>585</v>
      </c>
    </row>
    <row r="2" spans="1:3" x14ac:dyDescent="0.3">
      <c r="A2" s="29" t="s">
        <v>171</v>
      </c>
      <c r="B2" s="30" t="s">
        <v>586</v>
      </c>
      <c r="C2" s="30" t="s">
        <v>587</v>
      </c>
    </row>
    <row r="3" spans="1:3" x14ac:dyDescent="0.3">
      <c r="A3" s="29" t="s">
        <v>199</v>
      </c>
      <c r="B3" s="30" t="s">
        <v>588</v>
      </c>
      <c r="C3" s="30" t="s">
        <v>586</v>
      </c>
    </row>
    <row r="4" spans="1:3" hidden="1" x14ac:dyDescent="0.3">
      <c r="A4" s="29" t="s">
        <v>238</v>
      </c>
      <c r="B4" s="30" t="s">
        <v>589</v>
      </c>
      <c r="C4" s="30" t="s">
        <v>590</v>
      </c>
    </row>
    <row r="5" spans="1:3" x14ac:dyDescent="0.3">
      <c r="A5" s="29" t="s">
        <v>591</v>
      </c>
      <c r="B5" s="30" t="s">
        <v>590</v>
      </c>
      <c r="C5" s="30" t="s">
        <v>588</v>
      </c>
    </row>
    <row r="6" spans="1:3" hidden="1" x14ac:dyDescent="0.3">
      <c r="A6" s="29" t="s">
        <v>109</v>
      </c>
      <c r="B6" s="30" t="s">
        <v>592</v>
      </c>
      <c r="C6" s="30" t="s">
        <v>588</v>
      </c>
    </row>
    <row r="7" spans="1:3" hidden="1" x14ac:dyDescent="0.3">
      <c r="A7" s="29" t="s">
        <v>103</v>
      </c>
      <c r="B7" s="30" t="s">
        <v>593</v>
      </c>
      <c r="C7" s="30" t="s">
        <v>588</v>
      </c>
    </row>
    <row r="8" spans="1:3" x14ac:dyDescent="0.3">
      <c r="A8" s="29" t="s">
        <v>293</v>
      </c>
      <c r="B8" s="30" t="s">
        <v>586</v>
      </c>
      <c r="C8" s="30" t="s">
        <v>590</v>
      </c>
    </row>
    <row r="9" spans="1:3" hidden="1" x14ac:dyDescent="0.3">
      <c r="A9" s="29" t="s">
        <v>300</v>
      </c>
      <c r="B9" s="30" t="s">
        <v>594</v>
      </c>
      <c r="C9" s="30" t="s">
        <v>586</v>
      </c>
    </row>
    <row r="10" spans="1:3" hidden="1" x14ac:dyDescent="0.3">
      <c r="A10" s="29" t="s">
        <v>302</v>
      </c>
      <c r="B10" s="30" t="s">
        <v>594</v>
      </c>
      <c r="C10" s="30" t="s">
        <v>590</v>
      </c>
    </row>
    <row r="11" spans="1:3" hidden="1" x14ac:dyDescent="0.3">
      <c r="A11" s="29" t="s">
        <v>91</v>
      </c>
      <c r="B11" s="30" t="s">
        <v>595</v>
      </c>
      <c r="C11" s="30" t="s">
        <v>588</v>
      </c>
    </row>
    <row r="12" spans="1:3" hidden="1" x14ac:dyDescent="0.3">
      <c r="A12" s="29" t="s">
        <v>312</v>
      </c>
      <c r="B12" s="30" t="s">
        <v>594</v>
      </c>
      <c r="C12" s="30" t="s">
        <v>590</v>
      </c>
    </row>
    <row r="13" spans="1:3" hidden="1" x14ac:dyDescent="0.3">
      <c r="A13" s="29" t="s">
        <v>596</v>
      </c>
      <c r="B13" s="30" t="s">
        <v>594</v>
      </c>
      <c r="C13" s="30" t="s">
        <v>588</v>
      </c>
    </row>
    <row r="14" spans="1:3" hidden="1" x14ac:dyDescent="0.3">
      <c r="A14" s="29" t="s">
        <v>366</v>
      </c>
      <c r="B14" s="30" t="s">
        <v>597</v>
      </c>
      <c r="C14" s="30" t="s">
        <v>586</v>
      </c>
    </row>
    <row r="15" spans="1:3" hidden="1" x14ac:dyDescent="0.3">
      <c r="A15" s="29" t="s">
        <v>598</v>
      </c>
      <c r="B15" s="30" t="s">
        <v>599</v>
      </c>
      <c r="C15" s="30" t="s">
        <v>588</v>
      </c>
    </row>
    <row r="16" spans="1:3" hidden="1" x14ac:dyDescent="0.3">
      <c r="A16" s="29" t="s">
        <v>431</v>
      </c>
      <c r="B16" s="30" t="s">
        <v>597</v>
      </c>
      <c r="C16" s="30" t="s">
        <v>586</v>
      </c>
    </row>
    <row r="17" spans="1:3" x14ac:dyDescent="0.3">
      <c r="A17" s="29" t="s">
        <v>600</v>
      </c>
      <c r="B17" s="30" t="s">
        <v>590</v>
      </c>
      <c r="C17" s="30" t="s">
        <v>586</v>
      </c>
    </row>
    <row r="18" spans="1:3" hidden="1" x14ac:dyDescent="0.3">
      <c r="A18" s="29" t="s">
        <v>30</v>
      </c>
      <c r="B18" s="30" t="s">
        <v>601</v>
      </c>
      <c r="C18" s="30" t="s">
        <v>588</v>
      </c>
    </row>
    <row r="19" spans="1:3" x14ac:dyDescent="0.3">
      <c r="A19" s="29" t="s">
        <v>452</v>
      </c>
      <c r="B19" s="30" t="s">
        <v>588</v>
      </c>
      <c r="C19" s="30" t="s">
        <v>586</v>
      </c>
    </row>
    <row r="20" spans="1:3" hidden="1" x14ac:dyDescent="0.3">
      <c r="A20" s="29" t="s">
        <v>462</v>
      </c>
      <c r="B20" s="30" t="s">
        <v>589</v>
      </c>
      <c r="C20" s="30" t="s">
        <v>602</v>
      </c>
    </row>
    <row r="21" spans="1:3" hidden="1" x14ac:dyDescent="0.3">
      <c r="A21" s="29" t="s">
        <v>472</v>
      </c>
      <c r="B21" s="30" t="s">
        <v>603</v>
      </c>
      <c r="C21" s="30" t="s">
        <v>586</v>
      </c>
    </row>
    <row r="22" spans="1:3" hidden="1" x14ac:dyDescent="0.3">
      <c r="A22" s="29" t="s">
        <v>509</v>
      </c>
      <c r="B22" s="30" t="s">
        <v>593</v>
      </c>
      <c r="C22" s="30" t="s">
        <v>586</v>
      </c>
    </row>
    <row r="23" spans="1:3" hidden="1" x14ac:dyDescent="0.3">
      <c r="A23" s="29" t="s">
        <v>148</v>
      </c>
      <c r="B23" s="30" t="s">
        <v>604</v>
      </c>
      <c r="C23" s="30" t="s">
        <v>605</v>
      </c>
    </row>
    <row r="24" spans="1:3" hidden="1" x14ac:dyDescent="0.3">
      <c r="A24" s="29" t="s">
        <v>606</v>
      </c>
      <c r="B24" s="30" t="s">
        <v>607</v>
      </c>
      <c r="C24" s="30" t="s">
        <v>608</v>
      </c>
    </row>
    <row r="25" spans="1:3" hidden="1" x14ac:dyDescent="0.3">
      <c r="A25" s="29" t="s">
        <v>609</v>
      </c>
      <c r="B25" s="30" t="s">
        <v>610</v>
      </c>
      <c r="C25" s="30" t="s">
        <v>611</v>
      </c>
    </row>
    <row r="26" spans="1:3" x14ac:dyDescent="0.3">
      <c r="A26" s="29" t="s">
        <v>210</v>
      </c>
      <c r="B26" s="30" t="s">
        <v>586</v>
      </c>
      <c r="C26" s="30" t="s">
        <v>594</v>
      </c>
    </row>
    <row r="27" spans="1:3" hidden="1" x14ac:dyDescent="0.3">
      <c r="A27" s="29" t="s">
        <v>129</v>
      </c>
      <c r="B27" s="30" t="s">
        <v>610</v>
      </c>
      <c r="C27" s="30" t="s">
        <v>611</v>
      </c>
    </row>
    <row r="28" spans="1:3" hidden="1" x14ac:dyDescent="0.3">
      <c r="A28" s="29" t="s">
        <v>113</v>
      </c>
      <c r="B28" s="30" t="s">
        <v>592</v>
      </c>
      <c r="C28" s="30" t="s">
        <v>603</v>
      </c>
    </row>
    <row r="29" spans="1:3" hidden="1" x14ac:dyDescent="0.3">
      <c r="A29" s="29" t="s">
        <v>108</v>
      </c>
      <c r="B29" s="30" t="s">
        <v>608</v>
      </c>
      <c r="C29" s="30" t="s">
        <v>612</v>
      </c>
    </row>
    <row r="30" spans="1:3" hidden="1" x14ac:dyDescent="0.3">
      <c r="A30" s="29" t="s">
        <v>334</v>
      </c>
      <c r="B30" s="30" t="s">
        <v>610</v>
      </c>
      <c r="C30" s="30" t="s">
        <v>586</v>
      </c>
    </row>
    <row r="31" spans="1:3" hidden="1" x14ac:dyDescent="0.3">
      <c r="A31" s="29" t="s">
        <v>371</v>
      </c>
      <c r="B31" s="30" t="s">
        <v>594</v>
      </c>
      <c r="C31" s="30" t="s">
        <v>586</v>
      </c>
    </row>
    <row r="32" spans="1:3" x14ac:dyDescent="0.3">
      <c r="A32" s="29" t="s">
        <v>613</v>
      </c>
      <c r="B32" s="30" t="s">
        <v>586</v>
      </c>
      <c r="C32" s="30" t="s">
        <v>605</v>
      </c>
    </row>
    <row r="33" spans="1:3" hidden="1" x14ac:dyDescent="0.3">
      <c r="A33" s="29" t="s">
        <v>614</v>
      </c>
      <c r="B33" s="30" t="s">
        <v>597</v>
      </c>
      <c r="C33" s="30" t="s">
        <v>612</v>
      </c>
    </row>
    <row r="34" spans="1:3" hidden="1" x14ac:dyDescent="0.3">
      <c r="A34" s="29" t="s">
        <v>478</v>
      </c>
      <c r="B34" s="30" t="s">
        <v>615</v>
      </c>
      <c r="C34" s="30" t="s">
        <v>612</v>
      </c>
    </row>
    <row r="35" spans="1:3" hidden="1" x14ac:dyDescent="0.3">
      <c r="A35" s="29" t="s">
        <v>12</v>
      </c>
      <c r="B35" s="30" t="s">
        <v>603</v>
      </c>
      <c r="C35" s="30" t="s">
        <v>588</v>
      </c>
    </row>
    <row r="36" spans="1:3" hidden="1" x14ac:dyDescent="0.3">
      <c r="A36" s="29" t="s">
        <v>511</v>
      </c>
      <c r="B36" s="30" t="s">
        <v>589</v>
      </c>
      <c r="C36" s="30" t="s">
        <v>586</v>
      </c>
    </row>
    <row r="37" spans="1:3" x14ac:dyDescent="0.3">
      <c r="A37" s="29" t="s">
        <v>4</v>
      </c>
      <c r="B37" s="30" t="s">
        <v>588</v>
      </c>
      <c r="C37" s="30" t="s">
        <v>597</v>
      </c>
    </row>
    <row r="38" spans="1:3" hidden="1" x14ac:dyDescent="0.3">
      <c r="A38" s="29" t="s">
        <v>146</v>
      </c>
      <c r="B38" s="30" t="s">
        <v>611</v>
      </c>
      <c r="C38" s="30" t="s">
        <v>588</v>
      </c>
    </row>
    <row r="39" spans="1:3" hidden="1" x14ac:dyDescent="0.3">
      <c r="A39" s="29" t="s">
        <v>161</v>
      </c>
      <c r="B39" s="30" t="s">
        <v>592</v>
      </c>
      <c r="C39" s="30" t="s">
        <v>603</v>
      </c>
    </row>
    <row r="40" spans="1:3" hidden="1" x14ac:dyDescent="0.3">
      <c r="A40" s="29" t="s">
        <v>142</v>
      </c>
      <c r="B40" s="30" t="s">
        <v>597</v>
      </c>
      <c r="C40" s="30" t="s">
        <v>588</v>
      </c>
    </row>
    <row r="41" spans="1:3" hidden="1" x14ac:dyDescent="0.3">
      <c r="A41" s="29" t="s">
        <v>167</v>
      </c>
      <c r="B41" s="30" t="s">
        <v>616</v>
      </c>
      <c r="C41" s="30" t="s">
        <v>617</v>
      </c>
    </row>
    <row r="42" spans="1:3" hidden="1" x14ac:dyDescent="0.3">
      <c r="A42" s="29" t="s">
        <v>618</v>
      </c>
      <c r="B42" s="30" t="s">
        <v>619</v>
      </c>
      <c r="C42" s="30" t="s">
        <v>588</v>
      </c>
    </row>
    <row r="43" spans="1:3" hidden="1" x14ac:dyDescent="0.3">
      <c r="A43" s="29" t="s">
        <v>112</v>
      </c>
      <c r="B43" s="30" t="s">
        <v>620</v>
      </c>
      <c r="C43" s="30" t="s">
        <v>621</v>
      </c>
    </row>
    <row r="44" spans="1:3" hidden="1" x14ac:dyDescent="0.3">
      <c r="A44" s="29" t="s">
        <v>289</v>
      </c>
      <c r="B44" s="30" t="s">
        <v>611</v>
      </c>
      <c r="C44" s="30" t="s">
        <v>588</v>
      </c>
    </row>
    <row r="45" spans="1:3" hidden="1" x14ac:dyDescent="0.3">
      <c r="A45" s="29" t="s">
        <v>98</v>
      </c>
      <c r="B45" s="30" t="s">
        <v>589</v>
      </c>
      <c r="C45" s="30" t="s">
        <v>590</v>
      </c>
    </row>
    <row r="46" spans="1:3" hidden="1" x14ac:dyDescent="0.3">
      <c r="A46" s="29" t="s">
        <v>94</v>
      </c>
      <c r="B46" s="30" t="s">
        <v>622</v>
      </c>
      <c r="C46" s="30" t="s">
        <v>619</v>
      </c>
    </row>
    <row r="47" spans="1:3" hidden="1" x14ac:dyDescent="0.3">
      <c r="A47" s="29" t="s">
        <v>83</v>
      </c>
      <c r="B47" s="30" t="s">
        <v>589</v>
      </c>
      <c r="C47" s="30" t="s">
        <v>623</v>
      </c>
    </row>
    <row r="48" spans="1:3" hidden="1" x14ac:dyDescent="0.3">
      <c r="A48" s="29" t="s">
        <v>65</v>
      </c>
      <c r="B48" s="30" t="s">
        <v>622</v>
      </c>
      <c r="C48" s="30" t="s">
        <v>624</v>
      </c>
    </row>
    <row r="49" spans="1:3" x14ac:dyDescent="0.3">
      <c r="A49" s="29" t="s">
        <v>52</v>
      </c>
      <c r="B49" s="30" t="s">
        <v>588</v>
      </c>
      <c r="C49" s="30" t="s">
        <v>612</v>
      </c>
    </row>
    <row r="50" spans="1:3" hidden="1" x14ac:dyDescent="0.3">
      <c r="A50" s="29" t="s">
        <v>20</v>
      </c>
      <c r="B50" s="30" t="s">
        <v>611</v>
      </c>
      <c r="C50" s="30" t="s">
        <v>588</v>
      </c>
    </row>
    <row r="51" spans="1:3" hidden="1" x14ac:dyDescent="0.3">
      <c r="A51" s="29" t="s">
        <v>521</v>
      </c>
      <c r="B51" s="30" t="s">
        <v>594</v>
      </c>
      <c r="C51" s="30" t="s">
        <v>586</v>
      </c>
    </row>
    <row r="52" spans="1:3" hidden="1" x14ac:dyDescent="0.3">
      <c r="A52" s="29" t="s">
        <v>606</v>
      </c>
      <c r="B52" s="30" t="s">
        <v>607</v>
      </c>
      <c r="C52" s="30" t="s">
        <v>588</v>
      </c>
    </row>
    <row r="53" spans="1:3" hidden="1" x14ac:dyDescent="0.3">
      <c r="A53" s="29" t="s">
        <v>210</v>
      </c>
      <c r="B53" s="30" t="s">
        <v>625</v>
      </c>
      <c r="C53" s="30" t="s">
        <v>590</v>
      </c>
    </row>
    <row r="54" spans="1:3" hidden="1" x14ac:dyDescent="0.3">
      <c r="A54" s="29" t="s">
        <v>93</v>
      </c>
      <c r="B54" s="30" t="s">
        <v>611</v>
      </c>
      <c r="C54" s="30" t="s">
        <v>597</v>
      </c>
    </row>
    <row r="55" spans="1:3" hidden="1" x14ac:dyDescent="0.3">
      <c r="A55" s="29" t="s">
        <v>85</v>
      </c>
      <c r="B55" s="30" t="s">
        <v>592</v>
      </c>
      <c r="C55" s="30" t="s">
        <v>603</v>
      </c>
    </row>
    <row r="56" spans="1:3" x14ac:dyDescent="0.3">
      <c r="A56" s="29" t="s">
        <v>84</v>
      </c>
      <c r="B56" s="30" t="s">
        <v>588</v>
      </c>
      <c r="C56" s="30" t="s">
        <v>603</v>
      </c>
    </row>
    <row r="57" spans="1:3" hidden="1" x14ac:dyDescent="0.3">
      <c r="A57" s="29" t="s">
        <v>365</v>
      </c>
      <c r="B57" s="30" t="s">
        <v>587</v>
      </c>
      <c r="C57" s="30" t="s">
        <v>586</v>
      </c>
    </row>
    <row r="58" spans="1:3" hidden="1" x14ac:dyDescent="0.3">
      <c r="A58" s="29" t="s">
        <v>371</v>
      </c>
      <c r="B58" s="30" t="s">
        <v>599</v>
      </c>
      <c r="C58" s="30" t="s">
        <v>602</v>
      </c>
    </row>
    <row r="59" spans="1:3" hidden="1" x14ac:dyDescent="0.3">
      <c r="A59" s="29" t="s">
        <v>390</v>
      </c>
      <c r="B59" s="30" t="s">
        <v>616</v>
      </c>
      <c r="C59" s="30" t="s">
        <v>626</v>
      </c>
    </row>
    <row r="60" spans="1:3" x14ac:dyDescent="0.3">
      <c r="A60" s="29" t="s">
        <v>413</v>
      </c>
      <c r="B60" s="30" t="s">
        <v>590</v>
      </c>
      <c r="C60" s="30" t="s">
        <v>586</v>
      </c>
    </row>
    <row r="61" spans="1:3" hidden="1" x14ac:dyDescent="0.3">
      <c r="A61" s="29" t="s">
        <v>36</v>
      </c>
      <c r="B61" s="30" t="s">
        <v>594</v>
      </c>
      <c r="C61" s="30" t="s">
        <v>586</v>
      </c>
    </row>
    <row r="62" spans="1:3" x14ac:dyDescent="0.3">
      <c r="A62" s="29" t="s">
        <v>440</v>
      </c>
      <c r="B62" s="30" t="s">
        <v>590</v>
      </c>
      <c r="C62" s="30" t="s">
        <v>586</v>
      </c>
    </row>
    <row r="63" spans="1:3" hidden="1" x14ac:dyDescent="0.3">
      <c r="A63" s="29" t="s">
        <v>614</v>
      </c>
      <c r="B63" s="30" t="s">
        <v>593</v>
      </c>
      <c r="C63" s="30" t="s">
        <v>608</v>
      </c>
    </row>
    <row r="64" spans="1:3" hidden="1" x14ac:dyDescent="0.3">
      <c r="A64" s="29" t="s">
        <v>16</v>
      </c>
      <c r="B64" s="30" t="s">
        <v>597</v>
      </c>
      <c r="C64" s="30" t="s">
        <v>611</v>
      </c>
    </row>
    <row r="65" spans="1:3" hidden="1" x14ac:dyDescent="0.3">
      <c r="A65" s="29" t="s">
        <v>12</v>
      </c>
      <c r="B65" s="30" t="s">
        <v>603</v>
      </c>
      <c r="C65" s="30" t="s">
        <v>602</v>
      </c>
    </row>
    <row r="66" spans="1:3" hidden="1" x14ac:dyDescent="0.3">
      <c r="A66" s="29" t="s">
        <v>511</v>
      </c>
      <c r="B66" s="30" t="s">
        <v>589</v>
      </c>
      <c r="C66" s="30" t="s">
        <v>586</v>
      </c>
    </row>
    <row r="67" spans="1:3" hidden="1" x14ac:dyDescent="0.3">
      <c r="A67" s="29" t="s">
        <v>146</v>
      </c>
      <c r="B67" s="30" t="s">
        <v>603</v>
      </c>
      <c r="C67" s="30" t="s">
        <v>588</v>
      </c>
    </row>
    <row r="68" spans="1:3" hidden="1" x14ac:dyDescent="0.3">
      <c r="A68" s="29" t="s">
        <v>161</v>
      </c>
      <c r="B68" s="30" t="s">
        <v>592</v>
      </c>
      <c r="C68" s="30" t="s">
        <v>611</v>
      </c>
    </row>
    <row r="69" spans="1:3" hidden="1" x14ac:dyDescent="0.3">
      <c r="A69" s="29" t="s">
        <v>139</v>
      </c>
      <c r="B69" s="30" t="s">
        <v>605</v>
      </c>
      <c r="C69" s="30" t="s">
        <v>612</v>
      </c>
    </row>
    <row r="70" spans="1:3" hidden="1" x14ac:dyDescent="0.3">
      <c r="A70" s="29" t="s">
        <v>182</v>
      </c>
      <c r="B70" s="30" t="s">
        <v>616</v>
      </c>
      <c r="C70" s="30" t="s">
        <v>626</v>
      </c>
    </row>
    <row r="71" spans="1:3" hidden="1" x14ac:dyDescent="0.3">
      <c r="A71" s="29" t="s">
        <v>627</v>
      </c>
      <c r="B71" s="30" t="s">
        <v>608</v>
      </c>
      <c r="C71" s="30" t="s">
        <v>612</v>
      </c>
    </row>
    <row r="72" spans="1:3" x14ac:dyDescent="0.3">
      <c r="A72" s="29" t="s">
        <v>122</v>
      </c>
      <c r="B72" s="30" t="s">
        <v>588</v>
      </c>
      <c r="C72" s="30" t="s">
        <v>586</v>
      </c>
    </row>
    <row r="73" spans="1:3" hidden="1" x14ac:dyDescent="0.3">
      <c r="A73" s="29" t="s">
        <v>102</v>
      </c>
      <c r="B73" s="30" t="s">
        <v>608</v>
      </c>
      <c r="C73" s="30" t="s">
        <v>588</v>
      </c>
    </row>
    <row r="74" spans="1:3" hidden="1" x14ac:dyDescent="0.3">
      <c r="A74" s="29" t="s">
        <v>316</v>
      </c>
      <c r="B74" s="30" t="s">
        <v>594</v>
      </c>
      <c r="C74" s="30" t="s">
        <v>586</v>
      </c>
    </row>
    <row r="75" spans="1:3" hidden="1" x14ac:dyDescent="0.3">
      <c r="A75" s="29" t="s">
        <v>332</v>
      </c>
      <c r="B75" s="30" t="s">
        <v>602</v>
      </c>
      <c r="C75" s="30" t="s">
        <v>628</v>
      </c>
    </row>
    <row r="76" spans="1:3" hidden="1" x14ac:dyDescent="0.3">
      <c r="A76" s="29" t="s">
        <v>629</v>
      </c>
      <c r="B76" s="30" t="s">
        <v>610</v>
      </c>
      <c r="C76" s="30" t="s">
        <v>611</v>
      </c>
    </row>
    <row r="77" spans="1:3" x14ac:dyDescent="0.3">
      <c r="A77" s="29" t="s">
        <v>357</v>
      </c>
      <c r="B77" s="30" t="s">
        <v>586</v>
      </c>
      <c r="C77" s="30" t="s">
        <v>590</v>
      </c>
    </row>
    <row r="78" spans="1:3" x14ac:dyDescent="0.3">
      <c r="A78" s="29" t="s">
        <v>398</v>
      </c>
      <c r="B78" s="30" t="s">
        <v>590</v>
      </c>
      <c r="C78" s="30" t="s">
        <v>586</v>
      </c>
    </row>
    <row r="79" spans="1:3" hidden="1" x14ac:dyDescent="0.3">
      <c r="A79" s="29" t="s">
        <v>476</v>
      </c>
      <c r="B79" s="30" t="s">
        <v>599</v>
      </c>
      <c r="C79" s="30" t="s">
        <v>602</v>
      </c>
    </row>
    <row r="80" spans="1:3" hidden="1" x14ac:dyDescent="0.3">
      <c r="A80" s="29" t="s">
        <v>503</v>
      </c>
      <c r="B80" s="30" t="s">
        <v>602</v>
      </c>
      <c r="C80" s="30" t="s">
        <v>586</v>
      </c>
    </row>
    <row r="81" spans="1:3" hidden="1" x14ac:dyDescent="0.3">
      <c r="A81" s="29" t="s">
        <v>10</v>
      </c>
      <c r="B81" s="30" t="s">
        <v>610</v>
      </c>
      <c r="C81" s="30" t="s">
        <v>588</v>
      </c>
    </row>
    <row r="82" spans="1:3" hidden="1" x14ac:dyDescent="0.3">
      <c r="A82" s="29" t="s">
        <v>251</v>
      </c>
      <c r="B82" s="30" t="s">
        <v>620</v>
      </c>
      <c r="C82" s="30" t="s">
        <v>621</v>
      </c>
    </row>
    <row r="83" spans="1:3" hidden="1" x14ac:dyDescent="0.3">
      <c r="A83" s="29" t="s">
        <v>117</v>
      </c>
      <c r="B83" s="30" t="s">
        <v>611</v>
      </c>
      <c r="C83" s="30" t="s">
        <v>603</v>
      </c>
    </row>
    <row r="84" spans="1:3" hidden="1" x14ac:dyDescent="0.3">
      <c r="A84" s="29" t="s">
        <v>115</v>
      </c>
      <c r="B84" s="30" t="s">
        <v>630</v>
      </c>
      <c r="C84" s="30" t="s">
        <v>588</v>
      </c>
    </row>
    <row r="85" spans="1:3" hidden="1" x14ac:dyDescent="0.3">
      <c r="A85" s="29" t="s">
        <v>591</v>
      </c>
      <c r="B85" s="30" t="s">
        <v>599</v>
      </c>
      <c r="C85" s="30" t="s">
        <v>608</v>
      </c>
    </row>
    <row r="86" spans="1:3" hidden="1" x14ac:dyDescent="0.3">
      <c r="A86" s="29" t="s">
        <v>109</v>
      </c>
      <c r="B86" s="30" t="s">
        <v>592</v>
      </c>
      <c r="C86" s="30" t="s">
        <v>611</v>
      </c>
    </row>
    <row r="87" spans="1:3" x14ac:dyDescent="0.3">
      <c r="A87" s="29" t="s">
        <v>302</v>
      </c>
      <c r="B87" s="30" t="s">
        <v>586</v>
      </c>
      <c r="C87" s="30" t="s">
        <v>631</v>
      </c>
    </row>
    <row r="88" spans="1:3" hidden="1" x14ac:dyDescent="0.3">
      <c r="A88" s="29" t="s">
        <v>366</v>
      </c>
      <c r="B88" s="30" t="s">
        <v>597</v>
      </c>
      <c r="C88" s="30" t="s">
        <v>586</v>
      </c>
    </row>
    <row r="89" spans="1:3" x14ac:dyDescent="0.3">
      <c r="A89" s="29" t="s">
        <v>30</v>
      </c>
      <c r="B89" s="30" t="s">
        <v>586</v>
      </c>
      <c r="C89" s="30" t="s">
        <v>597</v>
      </c>
    </row>
    <row r="90" spans="1:3" x14ac:dyDescent="0.3">
      <c r="A90" s="29" t="s">
        <v>632</v>
      </c>
      <c r="B90" s="30" t="s">
        <v>586</v>
      </c>
      <c r="C90" s="30" t="s">
        <v>588</v>
      </c>
    </row>
    <row r="91" spans="1:3" x14ac:dyDescent="0.3">
      <c r="A91" s="29" t="s">
        <v>0</v>
      </c>
      <c r="B91" s="30" t="s">
        <v>588</v>
      </c>
      <c r="C91" s="30" t="s">
        <v>602</v>
      </c>
    </row>
    <row r="92" spans="1:3" hidden="1" x14ac:dyDescent="0.3">
      <c r="A92" s="29" t="s">
        <v>213</v>
      </c>
      <c r="B92" s="30" t="s">
        <v>616</v>
      </c>
      <c r="C92" s="30" t="s">
        <v>586</v>
      </c>
    </row>
    <row r="93" spans="1:3" hidden="1" x14ac:dyDescent="0.3">
      <c r="A93" s="29" t="s">
        <v>105</v>
      </c>
      <c r="B93" s="30" t="s">
        <v>597</v>
      </c>
      <c r="C93" s="30" t="s">
        <v>588</v>
      </c>
    </row>
    <row r="94" spans="1:3" x14ac:dyDescent="0.3">
      <c r="A94" s="29" t="s">
        <v>297</v>
      </c>
      <c r="B94" s="30" t="s">
        <v>586</v>
      </c>
      <c r="C94" s="30" t="s">
        <v>590</v>
      </c>
    </row>
    <row r="95" spans="1:3" x14ac:dyDescent="0.3">
      <c r="A95" s="29" t="s">
        <v>633</v>
      </c>
      <c r="B95" s="30" t="s">
        <v>590</v>
      </c>
      <c r="C95" s="30" t="s">
        <v>586</v>
      </c>
    </row>
    <row r="96" spans="1:3" hidden="1" x14ac:dyDescent="0.3">
      <c r="A96" s="29" t="s">
        <v>395</v>
      </c>
      <c r="B96" s="30" t="s">
        <v>602</v>
      </c>
      <c r="C96" s="30" t="s">
        <v>586</v>
      </c>
    </row>
    <row r="97" spans="1:3" x14ac:dyDescent="0.3">
      <c r="A97" s="29" t="s">
        <v>398</v>
      </c>
      <c r="B97" s="30" t="s">
        <v>590</v>
      </c>
      <c r="C97" s="30" t="s">
        <v>586</v>
      </c>
    </row>
    <row r="98" spans="1:3" hidden="1" x14ac:dyDescent="0.3">
      <c r="A98" s="29" t="s">
        <v>426</v>
      </c>
      <c r="B98" s="30" t="s">
        <v>602</v>
      </c>
      <c r="C98" s="30" t="s">
        <v>586</v>
      </c>
    </row>
    <row r="99" spans="1:3" hidden="1" x14ac:dyDescent="0.3">
      <c r="A99" s="29" t="s">
        <v>32</v>
      </c>
      <c r="B99" s="30" t="s">
        <v>610</v>
      </c>
      <c r="C99" s="30" t="s">
        <v>590</v>
      </c>
    </row>
    <row r="100" spans="1:3" x14ac:dyDescent="0.3">
      <c r="A100" s="29" t="s">
        <v>29</v>
      </c>
      <c r="B100" s="30" t="s">
        <v>588</v>
      </c>
      <c r="C100" s="30" t="s">
        <v>602</v>
      </c>
    </row>
    <row r="101" spans="1:3" hidden="1" x14ac:dyDescent="0.3">
      <c r="A101" s="29" t="s">
        <v>451</v>
      </c>
      <c r="B101" s="30" t="s">
        <v>616</v>
      </c>
      <c r="C101" s="30" t="s">
        <v>626</v>
      </c>
    </row>
    <row r="102" spans="1:3" hidden="1" x14ac:dyDescent="0.3">
      <c r="A102" s="29" t="s">
        <v>454</v>
      </c>
      <c r="B102" s="30" t="s">
        <v>589</v>
      </c>
      <c r="C102" s="30" t="s">
        <v>623</v>
      </c>
    </row>
    <row r="103" spans="1:3" hidden="1" x14ac:dyDescent="0.3">
      <c r="A103" s="29" t="s">
        <v>503</v>
      </c>
      <c r="B103" s="30" t="s">
        <v>599</v>
      </c>
      <c r="C103" s="30" t="s">
        <v>602</v>
      </c>
    </row>
    <row r="104" spans="1:3" hidden="1" x14ac:dyDescent="0.3">
      <c r="A104" s="29" t="s">
        <v>519</v>
      </c>
      <c r="B104" s="30" t="s">
        <v>593</v>
      </c>
      <c r="C104" s="30" t="s">
        <v>586</v>
      </c>
    </row>
    <row r="105" spans="1:3" x14ac:dyDescent="0.3">
      <c r="A105" s="29" t="s">
        <v>549</v>
      </c>
      <c r="B105" s="30" t="s">
        <v>586</v>
      </c>
      <c r="C105" s="30" t="s">
        <v>590</v>
      </c>
    </row>
    <row r="106" spans="1:3" hidden="1" x14ac:dyDescent="0.3">
      <c r="A106" s="29" t="s">
        <v>606</v>
      </c>
      <c r="B106" s="30" t="s">
        <v>607</v>
      </c>
      <c r="C106" s="30" t="s">
        <v>588</v>
      </c>
    </row>
    <row r="107" spans="1:3" hidden="1" x14ac:dyDescent="0.3">
      <c r="A107" s="29" t="s">
        <v>634</v>
      </c>
      <c r="B107" s="30" t="s">
        <v>587</v>
      </c>
      <c r="C107" s="30" t="s">
        <v>586</v>
      </c>
    </row>
    <row r="108" spans="1:3" hidden="1" x14ac:dyDescent="0.3">
      <c r="A108" s="29" t="s">
        <v>206</v>
      </c>
      <c r="B108" s="30" t="s">
        <v>625</v>
      </c>
      <c r="C108" s="30" t="s">
        <v>590</v>
      </c>
    </row>
    <row r="109" spans="1:3" x14ac:dyDescent="0.3">
      <c r="A109" s="29" t="s">
        <v>635</v>
      </c>
      <c r="B109" s="30" t="s">
        <v>586</v>
      </c>
      <c r="C109" s="30" t="s">
        <v>616</v>
      </c>
    </row>
    <row r="110" spans="1:3" x14ac:dyDescent="0.3">
      <c r="A110" s="29" t="s">
        <v>258</v>
      </c>
      <c r="B110" s="30" t="s">
        <v>586</v>
      </c>
      <c r="C110" s="30" t="s">
        <v>626</v>
      </c>
    </row>
    <row r="111" spans="1:3" x14ac:dyDescent="0.3">
      <c r="A111" s="29" t="s">
        <v>464</v>
      </c>
      <c r="B111" s="30" t="s">
        <v>588</v>
      </c>
      <c r="C111" s="30" t="s">
        <v>586</v>
      </c>
    </row>
    <row r="112" spans="1:3" hidden="1" x14ac:dyDescent="0.3">
      <c r="A112" s="29" t="s">
        <v>606</v>
      </c>
      <c r="B112" s="30" t="s">
        <v>607</v>
      </c>
      <c r="C112" s="30" t="s">
        <v>588</v>
      </c>
    </row>
    <row r="113" spans="1:3" x14ac:dyDescent="0.3">
      <c r="A113" s="29" t="s">
        <v>183</v>
      </c>
      <c r="B113" s="30" t="s">
        <v>586</v>
      </c>
      <c r="C113" s="30" t="s">
        <v>590</v>
      </c>
    </row>
    <row r="114" spans="1:3" hidden="1" x14ac:dyDescent="0.3">
      <c r="A114" s="29" t="s">
        <v>207</v>
      </c>
      <c r="B114" s="30" t="s">
        <v>593</v>
      </c>
      <c r="C114" s="30" t="s">
        <v>586</v>
      </c>
    </row>
    <row r="115" spans="1:3" x14ac:dyDescent="0.3">
      <c r="A115" s="29" t="s">
        <v>209</v>
      </c>
      <c r="B115" s="30" t="s">
        <v>586</v>
      </c>
      <c r="C115" s="30" t="s">
        <v>590</v>
      </c>
    </row>
    <row r="116" spans="1:3" hidden="1" x14ac:dyDescent="0.3">
      <c r="A116" s="29" t="s">
        <v>210</v>
      </c>
      <c r="B116" s="30" t="s">
        <v>599</v>
      </c>
      <c r="C116" s="30" t="s">
        <v>602</v>
      </c>
    </row>
    <row r="117" spans="1:3" x14ac:dyDescent="0.3">
      <c r="A117" s="29" t="s">
        <v>129</v>
      </c>
      <c r="B117" s="30" t="s">
        <v>590</v>
      </c>
      <c r="C117" s="30" t="s">
        <v>586</v>
      </c>
    </row>
    <row r="118" spans="1:3" hidden="1" x14ac:dyDescent="0.3">
      <c r="A118" s="29" t="s">
        <v>239</v>
      </c>
      <c r="B118" s="30" t="s">
        <v>594</v>
      </c>
      <c r="C118" s="30" t="s">
        <v>586</v>
      </c>
    </row>
    <row r="119" spans="1:3" hidden="1" x14ac:dyDescent="0.3">
      <c r="A119" s="29" t="s">
        <v>120</v>
      </c>
      <c r="B119" s="30" t="s">
        <v>611</v>
      </c>
      <c r="C119" s="30" t="s">
        <v>588</v>
      </c>
    </row>
    <row r="120" spans="1:3" hidden="1" x14ac:dyDescent="0.3">
      <c r="A120" s="29" t="s">
        <v>96</v>
      </c>
      <c r="B120" s="30" t="s">
        <v>608</v>
      </c>
      <c r="C120" s="30" t="s">
        <v>588</v>
      </c>
    </row>
    <row r="121" spans="1:3" hidden="1" x14ac:dyDescent="0.3">
      <c r="A121" s="29" t="s">
        <v>307</v>
      </c>
      <c r="B121" s="30" t="s">
        <v>630</v>
      </c>
      <c r="C121" s="30" t="s">
        <v>590</v>
      </c>
    </row>
    <row r="122" spans="1:3" hidden="1" x14ac:dyDescent="0.3">
      <c r="A122" s="29" t="s">
        <v>334</v>
      </c>
      <c r="B122" s="30" t="s">
        <v>624</v>
      </c>
      <c r="C122" s="30" t="s">
        <v>586</v>
      </c>
    </row>
    <row r="123" spans="1:3" hidden="1" x14ac:dyDescent="0.3">
      <c r="A123" s="29" t="s">
        <v>28</v>
      </c>
      <c r="B123" s="30" t="s">
        <v>616</v>
      </c>
      <c r="C123" s="30" t="s">
        <v>588</v>
      </c>
    </row>
    <row r="124" spans="1:3" hidden="1" x14ac:dyDescent="0.3">
      <c r="A124" s="29" t="s">
        <v>614</v>
      </c>
      <c r="B124" s="30" t="s">
        <v>602</v>
      </c>
      <c r="C124" s="30" t="s">
        <v>608</v>
      </c>
    </row>
    <row r="125" spans="1:3" hidden="1" x14ac:dyDescent="0.3">
      <c r="A125" s="29" t="s">
        <v>460</v>
      </c>
      <c r="B125" s="30" t="s">
        <v>616</v>
      </c>
      <c r="C125" s="30" t="s">
        <v>626</v>
      </c>
    </row>
    <row r="126" spans="1:3" hidden="1" x14ac:dyDescent="0.3">
      <c r="A126" s="29" t="s">
        <v>16</v>
      </c>
      <c r="B126" s="30" t="s">
        <v>597</v>
      </c>
      <c r="C126" s="30" t="s">
        <v>588</v>
      </c>
    </row>
    <row r="127" spans="1:3" hidden="1" x14ac:dyDescent="0.3">
      <c r="A127" s="29" t="s">
        <v>12</v>
      </c>
      <c r="B127" s="30" t="s">
        <v>603</v>
      </c>
      <c r="C127" s="30" t="s">
        <v>588</v>
      </c>
    </row>
    <row r="128" spans="1:3" hidden="1" x14ac:dyDescent="0.3">
      <c r="A128" s="29" t="s">
        <v>146</v>
      </c>
      <c r="B128" s="30" t="s">
        <v>611</v>
      </c>
      <c r="C128" s="30" t="s">
        <v>588</v>
      </c>
    </row>
    <row r="129" spans="1:3" hidden="1" x14ac:dyDescent="0.3">
      <c r="A129" s="29" t="s">
        <v>128</v>
      </c>
      <c r="B129" s="30" t="s">
        <v>624</v>
      </c>
      <c r="C129" s="30" t="s">
        <v>622</v>
      </c>
    </row>
    <row r="130" spans="1:3" x14ac:dyDescent="0.3">
      <c r="A130" s="29" t="s">
        <v>229</v>
      </c>
      <c r="B130" s="30" t="s">
        <v>590</v>
      </c>
      <c r="C130" s="30" t="s">
        <v>586</v>
      </c>
    </row>
    <row r="131" spans="1:3" hidden="1" x14ac:dyDescent="0.3">
      <c r="A131" s="29" t="s">
        <v>289</v>
      </c>
      <c r="B131" s="30" t="s">
        <v>619</v>
      </c>
      <c r="C131" s="30" t="s">
        <v>628</v>
      </c>
    </row>
    <row r="132" spans="1:3" hidden="1" x14ac:dyDescent="0.3">
      <c r="A132" s="29" t="s">
        <v>300</v>
      </c>
      <c r="B132" s="30" t="s">
        <v>619</v>
      </c>
      <c r="C132" s="30" t="s">
        <v>622</v>
      </c>
    </row>
    <row r="133" spans="1:3" hidden="1" x14ac:dyDescent="0.3">
      <c r="A133" s="29" t="s">
        <v>301</v>
      </c>
      <c r="B133" s="30" t="s">
        <v>619</v>
      </c>
      <c r="C133" s="30" t="s">
        <v>622</v>
      </c>
    </row>
    <row r="134" spans="1:3" hidden="1" x14ac:dyDescent="0.3">
      <c r="A134" s="29" t="s">
        <v>329</v>
      </c>
      <c r="B134" s="30" t="s">
        <v>622</v>
      </c>
      <c r="C134" s="30" t="s">
        <v>616</v>
      </c>
    </row>
    <row r="135" spans="1:3" hidden="1" x14ac:dyDescent="0.3">
      <c r="A135" s="29" t="s">
        <v>73</v>
      </c>
      <c r="B135" s="30" t="s">
        <v>619</v>
      </c>
      <c r="C135" s="30" t="s">
        <v>622</v>
      </c>
    </row>
    <row r="136" spans="1:3" hidden="1" x14ac:dyDescent="0.3">
      <c r="A136" s="29" t="s">
        <v>359</v>
      </c>
      <c r="B136" s="30" t="s">
        <v>622</v>
      </c>
      <c r="C136" s="30" t="s">
        <v>616</v>
      </c>
    </row>
    <row r="137" spans="1:3" hidden="1" x14ac:dyDescent="0.3">
      <c r="A137" s="29" t="s">
        <v>363</v>
      </c>
      <c r="B137" s="30" t="s">
        <v>619</v>
      </c>
      <c r="C137" s="30" t="s">
        <v>616</v>
      </c>
    </row>
    <row r="138" spans="1:3" hidden="1" x14ac:dyDescent="0.3">
      <c r="A138" s="29" t="s">
        <v>65</v>
      </c>
      <c r="B138" s="30" t="s">
        <v>624</v>
      </c>
      <c r="C138" s="30" t="s">
        <v>622</v>
      </c>
    </row>
    <row r="139" spans="1:3" hidden="1" x14ac:dyDescent="0.3">
      <c r="A139" s="29" t="s">
        <v>59</v>
      </c>
      <c r="B139" s="30" t="s">
        <v>616</v>
      </c>
      <c r="C139" s="30" t="s">
        <v>626</v>
      </c>
    </row>
    <row r="140" spans="1:3" hidden="1" x14ac:dyDescent="0.3">
      <c r="A140" s="29" t="s">
        <v>56</v>
      </c>
      <c r="B140" s="30" t="s">
        <v>624</v>
      </c>
      <c r="C140" s="30" t="s">
        <v>608</v>
      </c>
    </row>
    <row r="141" spans="1:3" hidden="1" x14ac:dyDescent="0.3">
      <c r="A141" s="29" t="s">
        <v>50</v>
      </c>
      <c r="B141" s="30" t="s">
        <v>619</v>
      </c>
      <c r="C141" s="30" t="s">
        <v>628</v>
      </c>
    </row>
    <row r="142" spans="1:3" hidden="1" x14ac:dyDescent="0.3">
      <c r="A142" s="29" t="s">
        <v>48</v>
      </c>
      <c r="B142" s="30" t="s">
        <v>624</v>
      </c>
      <c r="C142" s="30" t="s">
        <v>590</v>
      </c>
    </row>
    <row r="143" spans="1:3" hidden="1" x14ac:dyDescent="0.3">
      <c r="A143" s="29" t="s">
        <v>44</v>
      </c>
      <c r="B143" s="30" t="s">
        <v>619</v>
      </c>
      <c r="C143" s="30" t="s">
        <v>636</v>
      </c>
    </row>
    <row r="144" spans="1:3" hidden="1" x14ac:dyDescent="0.3">
      <c r="A144" s="29" t="s">
        <v>35</v>
      </c>
      <c r="B144" s="30" t="s">
        <v>610</v>
      </c>
      <c r="C144" s="30" t="s">
        <v>586</v>
      </c>
    </row>
    <row r="145" spans="1:3" hidden="1" x14ac:dyDescent="0.3">
      <c r="A145" s="29" t="s">
        <v>430</v>
      </c>
      <c r="B145" s="30" t="s">
        <v>619</v>
      </c>
      <c r="C145" s="30" t="s">
        <v>636</v>
      </c>
    </row>
    <row r="146" spans="1:3" hidden="1" x14ac:dyDescent="0.3">
      <c r="A146" s="29" t="s">
        <v>462</v>
      </c>
      <c r="B146" s="30" t="s">
        <v>608</v>
      </c>
      <c r="C146" s="30" t="s">
        <v>586</v>
      </c>
    </row>
    <row r="147" spans="1:3" hidden="1" x14ac:dyDescent="0.3">
      <c r="A147" s="29" t="s">
        <v>10</v>
      </c>
      <c r="B147" s="30" t="s">
        <v>599</v>
      </c>
      <c r="C147" s="30" t="s">
        <v>588</v>
      </c>
    </row>
    <row r="148" spans="1:3" hidden="1" x14ac:dyDescent="0.3">
      <c r="A148" s="29" t="s">
        <v>156</v>
      </c>
      <c r="B148" s="30" t="s">
        <v>616</v>
      </c>
      <c r="C148" s="30" t="s">
        <v>624</v>
      </c>
    </row>
    <row r="149" spans="1:3" x14ac:dyDescent="0.3">
      <c r="A149" s="29" t="s">
        <v>150</v>
      </c>
      <c r="B149" s="30" t="s">
        <v>588</v>
      </c>
      <c r="C149" s="30" t="s">
        <v>624</v>
      </c>
    </row>
    <row r="150" spans="1:3" hidden="1" x14ac:dyDescent="0.3">
      <c r="A150" s="29" t="s">
        <v>146</v>
      </c>
      <c r="B150" s="30" t="s">
        <v>619</v>
      </c>
      <c r="C150" s="30" t="s">
        <v>588</v>
      </c>
    </row>
    <row r="151" spans="1:3" hidden="1" x14ac:dyDescent="0.3">
      <c r="A151" s="29" t="s">
        <v>164</v>
      </c>
      <c r="B151" s="30" t="s">
        <v>619</v>
      </c>
      <c r="C151" s="30" t="s">
        <v>637</v>
      </c>
    </row>
    <row r="152" spans="1:3" hidden="1" x14ac:dyDescent="0.3">
      <c r="A152" s="29" t="s">
        <v>140</v>
      </c>
      <c r="B152" s="30" t="s">
        <v>619</v>
      </c>
      <c r="C152" s="30" t="s">
        <v>637</v>
      </c>
    </row>
    <row r="153" spans="1:3" hidden="1" x14ac:dyDescent="0.3">
      <c r="A153" s="29" t="s">
        <v>167</v>
      </c>
      <c r="B153" s="30" t="s">
        <v>616</v>
      </c>
      <c r="C153" s="30" t="s">
        <v>637</v>
      </c>
    </row>
    <row r="154" spans="1:3" hidden="1" x14ac:dyDescent="0.3">
      <c r="A154" s="29" t="s">
        <v>199</v>
      </c>
      <c r="B154" s="30" t="s">
        <v>616</v>
      </c>
      <c r="C154" s="30" t="s">
        <v>590</v>
      </c>
    </row>
    <row r="155" spans="1:3" hidden="1" x14ac:dyDescent="0.3">
      <c r="A155" s="29" t="s">
        <v>618</v>
      </c>
      <c r="B155" s="30" t="s">
        <v>619</v>
      </c>
      <c r="C155" s="30" t="s">
        <v>588</v>
      </c>
    </row>
    <row r="156" spans="1:3" hidden="1" x14ac:dyDescent="0.3">
      <c r="A156" s="29" t="s">
        <v>127</v>
      </c>
      <c r="B156" s="30" t="s">
        <v>619</v>
      </c>
      <c r="C156" s="30" t="s">
        <v>616</v>
      </c>
    </row>
    <row r="157" spans="1:3" hidden="1" x14ac:dyDescent="0.3">
      <c r="A157" s="29" t="s">
        <v>627</v>
      </c>
      <c r="B157" s="30" t="s">
        <v>608</v>
      </c>
      <c r="C157" s="30" t="s">
        <v>612</v>
      </c>
    </row>
    <row r="158" spans="1:3" hidden="1" x14ac:dyDescent="0.3">
      <c r="A158" s="29" t="s">
        <v>276</v>
      </c>
      <c r="B158" s="30" t="s">
        <v>616</v>
      </c>
      <c r="C158" s="30" t="s">
        <v>637</v>
      </c>
    </row>
    <row r="159" spans="1:3" hidden="1" x14ac:dyDescent="0.3">
      <c r="A159" s="29" t="s">
        <v>300</v>
      </c>
      <c r="B159" s="30" t="s">
        <v>619</v>
      </c>
      <c r="C159" s="30" t="s">
        <v>637</v>
      </c>
    </row>
    <row r="160" spans="1:3" hidden="1" x14ac:dyDescent="0.3">
      <c r="A160" s="29" t="s">
        <v>301</v>
      </c>
      <c r="B160" s="30" t="s">
        <v>619</v>
      </c>
      <c r="C160" s="30" t="s">
        <v>622</v>
      </c>
    </row>
    <row r="161" spans="1:3" hidden="1" x14ac:dyDescent="0.3">
      <c r="A161" s="29" t="s">
        <v>94</v>
      </c>
      <c r="B161" s="30" t="s">
        <v>622</v>
      </c>
      <c r="C161" s="30" t="s">
        <v>619</v>
      </c>
    </row>
    <row r="162" spans="1:3" hidden="1" x14ac:dyDescent="0.3">
      <c r="A162" s="29" t="s">
        <v>329</v>
      </c>
      <c r="B162" s="30" t="s">
        <v>616</v>
      </c>
      <c r="C162" s="30" t="s">
        <v>586</v>
      </c>
    </row>
    <row r="163" spans="1:3" hidden="1" x14ac:dyDescent="0.3">
      <c r="A163" s="29" t="s">
        <v>79</v>
      </c>
      <c r="B163" s="30" t="s">
        <v>607</v>
      </c>
      <c r="C163" s="30" t="s">
        <v>588</v>
      </c>
    </row>
    <row r="164" spans="1:3" hidden="1" x14ac:dyDescent="0.3">
      <c r="A164" s="29" t="s">
        <v>73</v>
      </c>
      <c r="B164" s="30" t="s">
        <v>622</v>
      </c>
      <c r="C164" s="30" t="s">
        <v>619</v>
      </c>
    </row>
    <row r="165" spans="1:3" hidden="1" x14ac:dyDescent="0.3">
      <c r="A165" s="29" t="s">
        <v>351</v>
      </c>
      <c r="B165" s="30" t="s">
        <v>622</v>
      </c>
      <c r="C165" s="30" t="s">
        <v>637</v>
      </c>
    </row>
    <row r="166" spans="1:3" hidden="1" x14ac:dyDescent="0.3">
      <c r="A166" s="29" t="s">
        <v>359</v>
      </c>
      <c r="B166" s="30" t="s">
        <v>616</v>
      </c>
      <c r="C166" s="30" t="s">
        <v>637</v>
      </c>
    </row>
    <row r="167" spans="1:3" hidden="1" x14ac:dyDescent="0.3">
      <c r="A167" s="29" t="s">
        <v>638</v>
      </c>
      <c r="B167" s="30" t="s">
        <v>622</v>
      </c>
      <c r="C167" s="30" t="s">
        <v>639</v>
      </c>
    </row>
    <row r="168" spans="1:3" hidden="1" x14ac:dyDescent="0.3">
      <c r="A168" s="29" t="s">
        <v>65</v>
      </c>
      <c r="B168" s="30" t="s">
        <v>622</v>
      </c>
      <c r="C168" s="30" t="s">
        <v>624</v>
      </c>
    </row>
    <row r="169" spans="1:3" hidden="1" x14ac:dyDescent="0.3">
      <c r="A169" s="29" t="s">
        <v>63</v>
      </c>
      <c r="B169" s="30" t="s">
        <v>622</v>
      </c>
      <c r="C169" s="30" t="s">
        <v>637</v>
      </c>
    </row>
    <row r="170" spans="1:3" hidden="1" x14ac:dyDescent="0.3">
      <c r="A170" s="29" t="s">
        <v>59</v>
      </c>
      <c r="B170" s="30" t="s">
        <v>616</v>
      </c>
      <c r="C170" s="30" t="s">
        <v>637</v>
      </c>
    </row>
    <row r="171" spans="1:3" hidden="1" x14ac:dyDescent="0.3">
      <c r="A171" s="29" t="s">
        <v>58</v>
      </c>
      <c r="B171" s="30" t="s">
        <v>622</v>
      </c>
      <c r="C171" s="30" t="s">
        <v>637</v>
      </c>
    </row>
    <row r="172" spans="1:3" x14ac:dyDescent="0.3">
      <c r="A172" s="29" t="s">
        <v>56</v>
      </c>
      <c r="B172" s="30" t="s">
        <v>588</v>
      </c>
      <c r="C172" s="30" t="s">
        <v>608</v>
      </c>
    </row>
    <row r="173" spans="1:3" x14ac:dyDescent="0.3">
      <c r="A173" s="29" t="s">
        <v>52</v>
      </c>
      <c r="B173" s="30" t="s">
        <v>588</v>
      </c>
      <c r="C173" s="30" t="s">
        <v>608</v>
      </c>
    </row>
    <row r="174" spans="1:3" x14ac:dyDescent="0.3">
      <c r="A174" s="29" t="s">
        <v>398</v>
      </c>
      <c r="B174" s="30" t="s">
        <v>590</v>
      </c>
      <c r="C174" s="30" t="s">
        <v>622</v>
      </c>
    </row>
    <row r="175" spans="1:3" hidden="1" x14ac:dyDescent="0.3">
      <c r="A175" s="29" t="s">
        <v>640</v>
      </c>
      <c r="B175" s="30" t="s">
        <v>616</v>
      </c>
      <c r="C175" s="30" t="s">
        <v>637</v>
      </c>
    </row>
    <row r="176" spans="1:3" hidden="1" x14ac:dyDescent="0.3">
      <c r="A176" s="29" t="s">
        <v>44</v>
      </c>
      <c r="B176" s="30" t="s">
        <v>619</v>
      </c>
      <c r="C176" s="30" t="s">
        <v>636</v>
      </c>
    </row>
    <row r="177" spans="1:3" x14ac:dyDescent="0.3">
      <c r="A177" s="29" t="s">
        <v>424</v>
      </c>
      <c r="B177" s="30" t="s">
        <v>586</v>
      </c>
      <c r="C177" s="30" t="s">
        <v>624</v>
      </c>
    </row>
    <row r="178" spans="1:3" hidden="1" x14ac:dyDescent="0.3">
      <c r="A178" s="29" t="s">
        <v>430</v>
      </c>
      <c r="B178" s="30" t="s">
        <v>619</v>
      </c>
      <c r="C178" s="30" t="s">
        <v>636</v>
      </c>
    </row>
    <row r="179" spans="1:3" hidden="1" x14ac:dyDescent="0.3">
      <c r="A179" s="29" t="s">
        <v>31</v>
      </c>
      <c r="B179" s="30" t="s">
        <v>619</v>
      </c>
      <c r="C179" s="30" t="s">
        <v>637</v>
      </c>
    </row>
    <row r="180" spans="1:3" hidden="1" x14ac:dyDescent="0.3">
      <c r="A180" s="29" t="s">
        <v>447</v>
      </c>
      <c r="B180" s="30" t="s">
        <v>619</v>
      </c>
      <c r="C180" s="30" t="s">
        <v>637</v>
      </c>
    </row>
    <row r="181" spans="1:3" hidden="1" x14ac:dyDescent="0.3">
      <c r="A181" s="29" t="s">
        <v>452</v>
      </c>
      <c r="B181" s="30" t="s">
        <v>616</v>
      </c>
      <c r="C181" s="30" t="s">
        <v>586</v>
      </c>
    </row>
    <row r="182" spans="1:3" hidden="1" x14ac:dyDescent="0.3">
      <c r="A182" s="29" t="s">
        <v>25</v>
      </c>
      <c r="B182" s="30" t="s">
        <v>616</v>
      </c>
      <c r="C182" s="30" t="s">
        <v>637</v>
      </c>
    </row>
    <row r="183" spans="1:3" hidden="1" x14ac:dyDescent="0.3">
      <c r="A183" s="29" t="s">
        <v>472</v>
      </c>
      <c r="B183" s="30" t="s">
        <v>603</v>
      </c>
      <c r="C183" s="30" t="s">
        <v>586</v>
      </c>
    </row>
    <row r="184" spans="1:3" hidden="1" x14ac:dyDescent="0.3">
      <c r="A184" s="29" t="s">
        <v>13</v>
      </c>
      <c r="B184" s="30" t="s">
        <v>593</v>
      </c>
      <c r="C184" s="30" t="s">
        <v>588</v>
      </c>
    </row>
    <row r="185" spans="1:3" hidden="1" x14ac:dyDescent="0.3">
      <c r="A185" s="29" t="s">
        <v>10</v>
      </c>
      <c r="B185" s="30" t="s">
        <v>599</v>
      </c>
      <c r="C185" s="30" t="s">
        <v>588</v>
      </c>
    </row>
    <row r="186" spans="1:3" hidden="1" x14ac:dyDescent="0.3">
      <c r="A186" s="29" t="s">
        <v>9</v>
      </c>
      <c r="B186" s="30" t="s">
        <v>619</v>
      </c>
      <c r="C186" s="30" t="s">
        <v>637</v>
      </c>
    </row>
    <row r="187" spans="1:3" hidden="1" x14ac:dyDescent="0.3">
      <c r="A187" s="29" t="s">
        <v>148</v>
      </c>
      <c r="B187" s="30" t="s">
        <v>619</v>
      </c>
      <c r="C187" s="30" t="s">
        <v>622</v>
      </c>
    </row>
    <row r="188" spans="1:3" hidden="1" x14ac:dyDescent="0.3">
      <c r="A188" s="29" t="s">
        <v>606</v>
      </c>
      <c r="B188" s="30" t="s">
        <v>607</v>
      </c>
      <c r="C188" s="30" t="s">
        <v>588</v>
      </c>
    </row>
    <row r="189" spans="1:3" hidden="1" x14ac:dyDescent="0.3">
      <c r="A189" s="29" t="s">
        <v>183</v>
      </c>
      <c r="B189" s="30" t="s">
        <v>624</v>
      </c>
      <c r="C189" s="30" t="s">
        <v>641</v>
      </c>
    </row>
    <row r="190" spans="1:3" hidden="1" x14ac:dyDescent="0.3">
      <c r="A190" s="29" t="s">
        <v>129</v>
      </c>
      <c r="B190" s="30" t="s">
        <v>624</v>
      </c>
      <c r="C190" s="30" t="s">
        <v>622</v>
      </c>
    </row>
    <row r="191" spans="1:3" hidden="1" x14ac:dyDescent="0.3">
      <c r="A191" s="29" t="s">
        <v>120</v>
      </c>
      <c r="B191" s="30" t="s">
        <v>611</v>
      </c>
      <c r="C191" s="30" t="s">
        <v>597</v>
      </c>
    </row>
    <row r="192" spans="1:3" hidden="1" x14ac:dyDescent="0.3">
      <c r="A192" s="29" t="s">
        <v>642</v>
      </c>
      <c r="B192" s="30" t="s">
        <v>619</v>
      </c>
      <c r="C192" s="30" t="s">
        <v>641</v>
      </c>
    </row>
    <row r="193" spans="1:3" hidden="1" x14ac:dyDescent="0.3">
      <c r="A193" s="29" t="s">
        <v>334</v>
      </c>
      <c r="B193" s="30" t="s">
        <v>624</v>
      </c>
      <c r="C193" s="30" t="s">
        <v>643</v>
      </c>
    </row>
    <row r="194" spans="1:3" hidden="1" x14ac:dyDescent="0.3">
      <c r="A194" s="29" t="s">
        <v>335</v>
      </c>
      <c r="B194" s="30" t="s">
        <v>616</v>
      </c>
      <c r="C194" s="30" t="s">
        <v>644</v>
      </c>
    </row>
    <row r="195" spans="1:3" hidden="1" x14ac:dyDescent="0.3">
      <c r="A195" s="29" t="s">
        <v>55</v>
      </c>
      <c r="B195" s="30" t="s">
        <v>645</v>
      </c>
      <c r="C195" s="30" t="s">
        <v>588</v>
      </c>
    </row>
    <row r="196" spans="1:3" hidden="1" x14ac:dyDescent="0.3">
      <c r="A196" s="29" t="s">
        <v>413</v>
      </c>
      <c r="B196" s="30" t="s">
        <v>616</v>
      </c>
      <c r="C196" s="30" t="s">
        <v>644</v>
      </c>
    </row>
    <row r="197" spans="1:3" hidden="1" x14ac:dyDescent="0.3">
      <c r="A197" s="29" t="s">
        <v>646</v>
      </c>
      <c r="B197" s="30" t="s">
        <v>645</v>
      </c>
      <c r="C197" s="30" t="s">
        <v>586</v>
      </c>
    </row>
    <row r="198" spans="1:3" hidden="1" x14ac:dyDescent="0.3">
      <c r="A198" s="29" t="s">
        <v>43</v>
      </c>
      <c r="B198" s="30" t="s">
        <v>589</v>
      </c>
      <c r="C198" s="30" t="s">
        <v>586</v>
      </c>
    </row>
    <row r="199" spans="1:3" hidden="1" x14ac:dyDescent="0.3">
      <c r="A199" s="29" t="s">
        <v>647</v>
      </c>
      <c r="B199" s="30" t="s">
        <v>603</v>
      </c>
      <c r="C199" s="30" t="s">
        <v>602</v>
      </c>
    </row>
    <row r="200" spans="1:3" hidden="1" x14ac:dyDescent="0.3">
      <c r="A200" s="29" t="s">
        <v>28</v>
      </c>
      <c r="B200" s="30" t="s">
        <v>616</v>
      </c>
      <c r="C200" s="30" t="s">
        <v>588</v>
      </c>
    </row>
    <row r="201" spans="1:3" hidden="1" x14ac:dyDescent="0.3">
      <c r="A201" s="29" t="s">
        <v>26</v>
      </c>
      <c r="B201" s="30" t="s">
        <v>611</v>
      </c>
      <c r="C201" s="30" t="s">
        <v>603</v>
      </c>
    </row>
    <row r="202" spans="1:3" hidden="1" x14ac:dyDescent="0.3">
      <c r="A202" s="29" t="s">
        <v>460</v>
      </c>
      <c r="B202" s="30" t="s">
        <v>616</v>
      </c>
      <c r="C202" s="30" t="s">
        <v>644</v>
      </c>
    </row>
    <row r="203" spans="1:3" hidden="1" x14ac:dyDescent="0.3">
      <c r="A203" s="29" t="s">
        <v>21</v>
      </c>
      <c r="B203" s="30" t="s">
        <v>616</v>
      </c>
      <c r="C203" s="30" t="s">
        <v>644</v>
      </c>
    </row>
    <row r="204" spans="1:3" x14ac:dyDescent="0.3">
      <c r="A204" s="29" t="s">
        <v>477</v>
      </c>
      <c r="B204" s="30" t="s">
        <v>590</v>
      </c>
      <c r="C204" s="30" t="s">
        <v>586</v>
      </c>
    </row>
    <row r="205" spans="1:3" hidden="1" x14ac:dyDescent="0.3">
      <c r="A205" s="29" t="s">
        <v>16</v>
      </c>
      <c r="B205" s="30" t="s">
        <v>597</v>
      </c>
      <c r="C205" s="30" t="s">
        <v>611</v>
      </c>
    </row>
    <row r="206" spans="1:3" hidden="1" x14ac:dyDescent="0.3">
      <c r="A206" s="29" t="s">
        <v>495</v>
      </c>
      <c r="B206" s="30" t="s">
        <v>589</v>
      </c>
      <c r="C206" s="30" t="s">
        <v>586</v>
      </c>
    </row>
    <row r="207" spans="1:3" hidden="1" x14ac:dyDescent="0.3">
      <c r="A207" s="29" t="s">
        <v>505</v>
      </c>
      <c r="B207" s="30" t="s">
        <v>619</v>
      </c>
      <c r="C207" s="30" t="s">
        <v>636</v>
      </c>
    </row>
    <row r="208" spans="1:3" hidden="1" x14ac:dyDescent="0.3">
      <c r="A208" s="29" t="s">
        <v>4</v>
      </c>
      <c r="B208" s="30" t="s">
        <v>589</v>
      </c>
      <c r="C208" s="30" t="s">
        <v>586</v>
      </c>
    </row>
    <row r="209" spans="1:3" hidden="1" x14ac:dyDescent="0.3">
      <c r="A209" s="29" t="s">
        <v>145</v>
      </c>
      <c r="B209" s="30" t="s">
        <v>616</v>
      </c>
      <c r="C209" s="30" t="s">
        <v>637</v>
      </c>
    </row>
    <row r="210" spans="1:3" x14ac:dyDescent="0.3">
      <c r="A210" s="29" t="s">
        <v>136</v>
      </c>
      <c r="B210" s="30" t="s">
        <v>586</v>
      </c>
      <c r="C210" s="30" t="s">
        <v>590</v>
      </c>
    </row>
    <row r="211" spans="1:3" hidden="1" x14ac:dyDescent="0.3">
      <c r="A211" s="29" t="s">
        <v>179</v>
      </c>
      <c r="B211" s="30" t="s">
        <v>619</v>
      </c>
      <c r="C211" s="30" t="s">
        <v>648</v>
      </c>
    </row>
    <row r="212" spans="1:3" hidden="1" x14ac:dyDescent="0.3">
      <c r="A212" s="29" t="s">
        <v>230</v>
      </c>
      <c r="B212" s="30" t="s">
        <v>603</v>
      </c>
      <c r="C212" s="30" t="s">
        <v>637</v>
      </c>
    </row>
    <row r="213" spans="1:3" hidden="1" x14ac:dyDescent="0.3">
      <c r="A213" s="29" t="s">
        <v>251</v>
      </c>
      <c r="B213" s="30" t="s">
        <v>620</v>
      </c>
      <c r="C213" s="30" t="s">
        <v>621</v>
      </c>
    </row>
    <row r="214" spans="1:3" hidden="1" x14ac:dyDescent="0.3">
      <c r="A214" s="29" t="s">
        <v>591</v>
      </c>
      <c r="B214" s="30" t="s">
        <v>599</v>
      </c>
      <c r="C214" s="30" t="s">
        <v>608</v>
      </c>
    </row>
    <row r="215" spans="1:3" hidden="1" x14ac:dyDescent="0.3">
      <c r="A215" s="29" t="s">
        <v>259</v>
      </c>
      <c r="B215" s="30" t="s">
        <v>625</v>
      </c>
      <c r="C215" s="30" t="s">
        <v>637</v>
      </c>
    </row>
    <row r="216" spans="1:3" hidden="1" x14ac:dyDescent="0.3">
      <c r="A216" s="29" t="s">
        <v>109</v>
      </c>
      <c r="B216" s="30" t="s">
        <v>595</v>
      </c>
      <c r="C216" s="30" t="s">
        <v>637</v>
      </c>
    </row>
    <row r="217" spans="1:3" x14ac:dyDescent="0.3">
      <c r="A217" s="29" t="s">
        <v>596</v>
      </c>
      <c r="B217" s="30" t="s">
        <v>586</v>
      </c>
      <c r="C217" s="30" t="s">
        <v>588</v>
      </c>
    </row>
    <row r="218" spans="1:3" hidden="1" x14ac:dyDescent="0.3">
      <c r="A218" s="29" t="s">
        <v>649</v>
      </c>
      <c r="B218" s="30" t="s">
        <v>619</v>
      </c>
      <c r="C218" s="30" t="s">
        <v>637</v>
      </c>
    </row>
    <row r="219" spans="1:3" hidden="1" x14ac:dyDescent="0.3">
      <c r="A219" s="29" t="s">
        <v>629</v>
      </c>
      <c r="B219" s="30" t="s">
        <v>619</v>
      </c>
      <c r="C219" s="30" t="s">
        <v>648</v>
      </c>
    </row>
    <row r="220" spans="1:3" hidden="1" x14ac:dyDescent="0.3">
      <c r="A220" s="29" t="s">
        <v>68</v>
      </c>
      <c r="B220" s="30" t="s">
        <v>624</v>
      </c>
      <c r="C220" s="30" t="s">
        <v>637</v>
      </c>
    </row>
    <row r="221" spans="1:3" hidden="1" x14ac:dyDescent="0.3">
      <c r="A221" s="29" t="s">
        <v>360</v>
      </c>
      <c r="B221" s="30" t="s">
        <v>607</v>
      </c>
      <c r="C221" s="30" t="s">
        <v>602</v>
      </c>
    </row>
    <row r="222" spans="1:3" hidden="1" x14ac:dyDescent="0.3">
      <c r="A222" s="29" t="s">
        <v>64</v>
      </c>
      <c r="B222" s="30" t="s">
        <v>624</v>
      </c>
      <c r="C222" s="30" t="s">
        <v>616</v>
      </c>
    </row>
    <row r="223" spans="1:3" x14ac:dyDescent="0.3">
      <c r="A223" s="29" t="s">
        <v>62</v>
      </c>
      <c r="B223" s="30" t="s">
        <v>590</v>
      </c>
      <c r="C223" s="30" t="s">
        <v>586</v>
      </c>
    </row>
    <row r="224" spans="1:3" hidden="1" x14ac:dyDescent="0.3">
      <c r="A224" s="29" t="s">
        <v>412</v>
      </c>
      <c r="B224" s="30" t="s">
        <v>622</v>
      </c>
      <c r="C224" s="30" t="s">
        <v>586</v>
      </c>
    </row>
    <row r="225" spans="1:3" hidden="1" x14ac:dyDescent="0.3">
      <c r="A225" s="29" t="s">
        <v>7</v>
      </c>
      <c r="B225" s="30" t="s">
        <v>624</v>
      </c>
      <c r="C225" s="30" t="s">
        <v>637</v>
      </c>
    </row>
    <row r="226" spans="1:3" x14ac:dyDescent="0.3">
      <c r="A226" s="29" t="s">
        <v>632</v>
      </c>
      <c r="B226" s="30" t="s">
        <v>586</v>
      </c>
      <c r="C226" s="30" t="s">
        <v>588</v>
      </c>
    </row>
    <row r="227" spans="1:3" hidden="1" x14ac:dyDescent="0.3">
      <c r="A227" s="29" t="s">
        <v>536</v>
      </c>
      <c r="B227" s="30" t="s">
        <v>622</v>
      </c>
      <c r="C227" s="30" t="s">
        <v>619</v>
      </c>
    </row>
    <row r="228" spans="1:3" hidden="1" x14ac:dyDescent="0.3">
      <c r="A228" s="29" t="s">
        <v>149</v>
      </c>
      <c r="B228" s="30" t="s">
        <v>608</v>
      </c>
      <c r="C228" s="30" t="s">
        <v>588</v>
      </c>
    </row>
    <row r="229" spans="1:3" hidden="1" x14ac:dyDescent="0.3">
      <c r="A229" s="29" t="s">
        <v>180</v>
      </c>
      <c r="B229" s="30" t="s">
        <v>608</v>
      </c>
      <c r="C229" s="30" t="s">
        <v>650</v>
      </c>
    </row>
    <row r="230" spans="1:3" hidden="1" x14ac:dyDescent="0.3">
      <c r="A230" s="29" t="s">
        <v>198</v>
      </c>
      <c r="B230" s="30" t="s">
        <v>594</v>
      </c>
      <c r="C230" s="30" t="s">
        <v>586</v>
      </c>
    </row>
    <row r="231" spans="1:3" hidden="1" x14ac:dyDescent="0.3">
      <c r="A231" s="29" t="s">
        <v>199</v>
      </c>
      <c r="B231" s="30" t="s">
        <v>616</v>
      </c>
      <c r="C231" s="30" t="s">
        <v>590</v>
      </c>
    </row>
    <row r="232" spans="1:3" x14ac:dyDescent="0.3">
      <c r="A232" s="29" t="s">
        <v>130</v>
      </c>
      <c r="B232" s="30" t="s">
        <v>588</v>
      </c>
      <c r="C232" s="30" t="s">
        <v>608</v>
      </c>
    </row>
    <row r="233" spans="1:3" hidden="1" x14ac:dyDescent="0.3">
      <c r="A233" s="29" t="s">
        <v>618</v>
      </c>
      <c r="B233" s="30" t="s">
        <v>619</v>
      </c>
      <c r="C233" s="30" t="s">
        <v>588</v>
      </c>
    </row>
    <row r="234" spans="1:3" hidden="1" x14ac:dyDescent="0.3">
      <c r="A234" s="29" t="s">
        <v>128</v>
      </c>
      <c r="B234" s="30" t="s">
        <v>622</v>
      </c>
      <c r="C234" s="30" t="s">
        <v>624</v>
      </c>
    </row>
    <row r="235" spans="1:3" hidden="1" x14ac:dyDescent="0.3">
      <c r="A235" s="29" t="s">
        <v>244</v>
      </c>
      <c r="B235" s="30" t="s">
        <v>594</v>
      </c>
      <c r="C235" s="30" t="s">
        <v>586</v>
      </c>
    </row>
    <row r="236" spans="1:3" hidden="1" x14ac:dyDescent="0.3">
      <c r="A236" s="29" t="s">
        <v>251</v>
      </c>
      <c r="B236" s="30" t="s">
        <v>622</v>
      </c>
      <c r="C236" s="30" t="s">
        <v>620</v>
      </c>
    </row>
    <row r="237" spans="1:3" x14ac:dyDescent="0.3">
      <c r="A237" s="29" t="s">
        <v>117</v>
      </c>
      <c r="B237" s="30" t="s">
        <v>588</v>
      </c>
      <c r="C237" s="30" t="s">
        <v>611</v>
      </c>
    </row>
    <row r="238" spans="1:3" hidden="1" x14ac:dyDescent="0.3">
      <c r="A238" s="29" t="s">
        <v>591</v>
      </c>
      <c r="B238" s="30" t="s">
        <v>599</v>
      </c>
      <c r="C238" s="30" t="s">
        <v>588</v>
      </c>
    </row>
    <row r="239" spans="1:3" hidden="1" x14ac:dyDescent="0.3">
      <c r="A239" s="29" t="s">
        <v>289</v>
      </c>
      <c r="B239" s="30" t="s">
        <v>619</v>
      </c>
      <c r="C239" s="30" t="s">
        <v>636</v>
      </c>
    </row>
    <row r="240" spans="1:3" hidden="1" x14ac:dyDescent="0.3">
      <c r="A240" s="29" t="s">
        <v>300</v>
      </c>
      <c r="B240" s="30" t="s">
        <v>619</v>
      </c>
      <c r="C240" s="30" t="s">
        <v>622</v>
      </c>
    </row>
    <row r="241" spans="1:3" hidden="1" x14ac:dyDescent="0.3">
      <c r="A241" s="29" t="s">
        <v>301</v>
      </c>
      <c r="B241" s="30" t="s">
        <v>619</v>
      </c>
      <c r="C241" s="30" t="s">
        <v>622</v>
      </c>
    </row>
    <row r="242" spans="1:3" x14ac:dyDescent="0.3">
      <c r="A242" s="29" t="s">
        <v>82</v>
      </c>
      <c r="B242" s="30" t="s">
        <v>588</v>
      </c>
      <c r="C242" s="30" t="s">
        <v>586</v>
      </c>
    </row>
    <row r="243" spans="1:3" hidden="1" x14ac:dyDescent="0.3">
      <c r="A243" s="29" t="s">
        <v>79</v>
      </c>
      <c r="B243" s="30" t="s">
        <v>607</v>
      </c>
      <c r="C243" s="30" t="s">
        <v>588</v>
      </c>
    </row>
    <row r="244" spans="1:3" hidden="1" x14ac:dyDescent="0.3">
      <c r="A244" s="29" t="s">
        <v>77</v>
      </c>
      <c r="B244" s="30" t="s">
        <v>624</v>
      </c>
      <c r="C244" s="30" t="s">
        <v>616</v>
      </c>
    </row>
    <row r="245" spans="1:3" x14ac:dyDescent="0.3">
      <c r="A245" s="29" t="s">
        <v>63</v>
      </c>
      <c r="B245" s="30" t="s">
        <v>588</v>
      </c>
      <c r="C245" s="30" t="s">
        <v>612</v>
      </c>
    </row>
    <row r="246" spans="1:3" x14ac:dyDescent="0.3">
      <c r="A246" s="29" t="s">
        <v>398</v>
      </c>
      <c r="B246" s="30" t="s">
        <v>590</v>
      </c>
      <c r="C246" s="30" t="s">
        <v>622</v>
      </c>
    </row>
    <row r="247" spans="1:3" x14ac:dyDescent="0.3">
      <c r="A247" s="29" t="s">
        <v>50</v>
      </c>
      <c r="B247" s="30" t="s">
        <v>588</v>
      </c>
      <c r="C247" s="30" t="s">
        <v>608</v>
      </c>
    </row>
    <row r="248" spans="1:3" hidden="1" x14ac:dyDescent="0.3">
      <c r="A248" s="29" t="s">
        <v>403</v>
      </c>
      <c r="B248" s="30" t="s">
        <v>619</v>
      </c>
      <c r="C248" s="30" t="s">
        <v>636</v>
      </c>
    </row>
    <row r="249" spans="1:3" hidden="1" x14ac:dyDescent="0.3">
      <c r="A249" s="29" t="s">
        <v>430</v>
      </c>
      <c r="B249" s="30" t="s">
        <v>619</v>
      </c>
      <c r="C249" s="30" t="s">
        <v>636</v>
      </c>
    </row>
    <row r="250" spans="1:3" x14ac:dyDescent="0.3">
      <c r="A250" s="29" t="s">
        <v>31</v>
      </c>
      <c r="B250" s="30" t="s">
        <v>588</v>
      </c>
      <c r="C250" s="30" t="s">
        <v>619</v>
      </c>
    </row>
    <row r="251" spans="1:3" hidden="1" x14ac:dyDescent="0.3">
      <c r="A251" s="29" t="s">
        <v>452</v>
      </c>
      <c r="B251" s="30" t="s">
        <v>616</v>
      </c>
      <c r="C251" s="30" t="s">
        <v>590</v>
      </c>
    </row>
    <row r="252" spans="1:3" hidden="1" x14ac:dyDescent="0.3">
      <c r="A252" s="29" t="s">
        <v>25</v>
      </c>
      <c r="B252" s="30" t="s">
        <v>616</v>
      </c>
      <c r="C252" s="30" t="s">
        <v>608</v>
      </c>
    </row>
    <row r="253" spans="1:3" hidden="1" x14ac:dyDescent="0.3">
      <c r="A253" s="29" t="s">
        <v>472</v>
      </c>
      <c r="B253" s="30" t="s">
        <v>603</v>
      </c>
      <c r="C253" s="30" t="s">
        <v>586</v>
      </c>
    </row>
    <row r="254" spans="1:3" x14ac:dyDescent="0.3">
      <c r="A254" s="29" t="s">
        <v>15</v>
      </c>
      <c r="B254" s="30" t="s">
        <v>588</v>
      </c>
      <c r="C254" s="30" t="s">
        <v>622</v>
      </c>
    </row>
    <row r="255" spans="1:3" x14ac:dyDescent="0.3">
      <c r="A255" s="29" t="s">
        <v>502</v>
      </c>
      <c r="B255" s="30" t="s">
        <v>586</v>
      </c>
      <c r="C255" s="30" t="s">
        <v>590</v>
      </c>
    </row>
    <row r="256" spans="1:3" hidden="1" x14ac:dyDescent="0.3">
      <c r="A256" s="29" t="s">
        <v>3</v>
      </c>
      <c r="B256" s="30" t="s">
        <v>622</v>
      </c>
      <c r="C256" s="30" t="s">
        <v>651</v>
      </c>
    </row>
    <row r="257" spans="1:3" hidden="1" x14ac:dyDescent="0.3">
      <c r="A257" s="29" t="s">
        <v>148</v>
      </c>
      <c r="B257" s="30" t="s">
        <v>610</v>
      </c>
      <c r="C257" s="30" t="s">
        <v>588</v>
      </c>
    </row>
    <row r="258" spans="1:3" hidden="1" x14ac:dyDescent="0.3">
      <c r="A258" s="29" t="s">
        <v>606</v>
      </c>
      <c r="B258" s="30" t="s">
        <v>607</v>
      </c>
      <c r="C258" s="30" t="s">
        <v>612</v>
      </c>
    </row>
    <row r="259" spans="1:3" hidden="1" x14ac:dyDescent="0.3">
      <c r="A259" s="29" t="s">
        <v>81</v>
      </c>
      <c r="B259" s="30" t="s">
        <v>599</v>
      </c>
      <c r="C259" s="30" t="s">
        <v>602</v>
      </c>
    </row>
    <row r="260" spans="1:3" x14ac:dyDescent="0.3">
      <c r="A260" s="29" t="s">
        <v>55</v>
      </c>
      <c r="B260" s="30" t="s">
        <v>588</v>
      </c>
      <c r="C260" s="30" t="s">
        <v>607</v>
      </c>
    </row>
    <row r="261" spans="1:3" hidden="1" x14ac:dyDescent="0.3">
      <c r="A261" s="29" t="s">
        <v>390</v>
      </c>
      <c r="B261" s="30" t="s">
        <v>602</v>
      </c>
      <c r="C261" s="30" t="s">
        <v>590</v>
      </c>
    </row>
    <row r="262" spans="1:3" x14ac:dyDescent="0.3">
      <c r="A262" s="29" t="s">
        <v>36</v>
      </c>
      <c r="B262" s="30" t="s">
        <v>588</v>
      </c>
      <c r="C262" s="30" t="s">
        <v>602</v>
      </c>
    </row>
    <row r="263" spans="1:3" x14ac:dyDescent="0.3">
      <c r="A263" s="29" t="s">
        <v>440</v>
      </c>
      <c r="B263" s="30" t="s">
        <v>590</v>
      </c>
      <c r="C263" s="30" t="s">
        <v>589</v>
      </c>
    </row>
    <row r="264" spans="1:3" x14ac:dyDescent="0.3">
      <c r="A264" s="29" t="s">
        <v>27</v>
      </c>
      <c r="B264" s="30" t="s">
        <v>590</v>
      </c>
      <c r="C264" s="30" t="s">
        <v>586</v>
      </c>
    </row>
    <row r="265" spans="1:3" hidden="1" x14ac:dyDescent="0.3">
      <c r="A265" s="29" t="s">
        <v>614</v>
      </c>
      <c r="B265" s="30" t="s">
        <v>597</v>
      </c>
      <c r="C265" s="30" t="s">
        <v>608</v>
      </c>
    </row>
    <row r="266" spans="1:3" hidden="1" x14ac:dyDescent="0.3">
      <c r="A266" s="29" t="s">
        <v>652</v>
      </c>
      <c r="B266" s="30" t="s">
        <v>602</v>
      </c>
      <c r="C266" s="30" t="s">
        <v>588</v>
      </c>
    </row>
    <row r="267" spans="1:3" x14ac:dyDescent="0.3">
      <c r="A267" s="29" t="s">
        <v>495</v>
      </c>
      <c r="B267" s="30" t="s">
        <v>586</v>
      </c>
      <c r="C267" s="30" t="s">
        <v>589</v>
      </c>
    </row>
    <row r="268" spans="1:3" x14ac:dyDescent="0.3">
      <c r="A268" s="29" t="s">
        <v>653</v>
      </c>
      <c r="B268" s="30" t="s">
        <v>588</v>
      </c>
      <c r="C268" s="30" t="s">
        <v>586</v>
      </c>
    </row>
    <row r="269" spans="1:3" hidden="1" x14ac:dyDescent="0.3">
      <c r="A269" s="29" t="s">
        <v>548</v>
      </c>
      <c r="B269" s="30" t="s">
        <v>594</v>
      </c>
      <c r="C269" s="30" t="s">
        <v>590</v>
      </c>
    </row>
    <row r="270" spans="1:3" hidden="1" x14ac:dyDescent="0.3">
      <c r="A270" s="29" t="s">
        <v>654</v>
      </c>
      <c r="B270" s="30" t="s">
        <v>616</v>
      </c>
      <c r="C270" s="30" t="s">
        <v>592</v>
      </c>
    </row>
    <row r="271" spans="1:3" hidden="1" x14ac:dyDescent="0.3">
      <c r="A271" s="29" t="s">
        <v>220</v>
      </c>
      <c r="B271" s="30" t="s">
        <v>611</v>
      </c>
      <c r="C271" s="30" t="s">
        <v>603</v>
      </c>
    </row>
    <row r="272" spans="1:3" hidden="1" x14ac:dyDescent="0.3">
      <c r="A272" s="29" t="s">
        <v>230</v>
      </c>
      <c r="B272" s="30" t="s">
        <v>619</v>
      </c>
      <c r="C272" s="30" t="s">
        <v>616</v>
      </c>
    </row>
    <row r="273" spans="1:3" hidden="1" x14ac:dyDescent="0.3">
      <c r="A273" s="29" t="s">
        <v>105</v>
      </c>
      <c r="B273" s="30" t="s">
        <v>597</v>
      </c>
      <c r="C273" s="30" t="s">
        <v>619</v>
      </c>
    </row>
    <row r="274" spans="1:3" hidden="1" x14ac:dyDescent="0.3">
      <c r="A274" s="29" t="s">
        <v>89</v>
      </c>
      <c r="B274" s="30" t="s">
        <v>597</v>
      </c>
      <c r="C274" s="30" t="s">
        <v>611</v>
      </c>
    </row>
    <row r="275" spans="1:3" hidden="1" x14ac:dyDescent="0.3">
      <c r="A275" s="29" t="s">
        <v>649</v>
      </c>
      <c r="B275" s="30" t="s">
        <v>619</v>
      </c>
      <c r="C275" s="30" t="s">
        <v>643</v>
      </c>
    </row>
    <row r="276" spans="1:3" hidden="1" x14ac:dyDescent="0.3">
      <c r="A276" s="29" t="s">
        <v>69</v>
      </c>
      <c r="B276" s="30" t="s">
        <v>655</v>
      </c>
      <c r="C276" s="30" t="s">
        <v>616</v>
      </c>
    </row>
    <row r="277" spans="1:3" hidden="1" x14ac:dyDescent="0.3">
      <c r="A277" s="29" t="s">
        <v>68</v>
      </c>
      <c r="B277" s="30" t="s">
        <v>595</v>
      </c>
      <c r="C277" s="30" t="s">
        <v>628</v>
      </c>
    </row>
    <row r="278" spans="1:3" hidden="1" x14ac:dyDescent="0.3">
      <c r="A278" s="29" t="s">
        <v>360</v>
      </c>
      <c r="B278" s="30" t="s">
        <v>620</v>
      </c>
      <c r="C278" s="30" t="s">
        <v>621</v>
      </c>
    </row>
    <row r="279" spans="1:3" hidden="1" x14ac:dyDescent="0.3">
      <c r="A279" s="29" t="s">
        <v>656</v>
      </c>
      <c r="B279" s="30" t="s">
        <v>624</v>
      </c>
      <c r="C279" s="30" t="s">
        <v>616</v>
      </c>
    </row>
    <row r="280" spans="1:3" hidden="1" x14ac:dyDescent="0.3">
      <c r="A280" s="29" t="s">
        <v>657</v>
      </c>
      <c r="B280" s="30" t="s">
        <v>599</v>
      </c>
      <c r="C280" s="30" t="s">
        <v>588</v>
      </c>
    </row>
    <row r="281" spans="1:3" hidden="1" x14ac:dyDescent="0.3">
      <c r="A281" s="29" t="s">
        <v>658</v>
      </c>
      <c r="B281" s="30" t="s">
        <v>619</v>
      </c>
      <c r="C281" s="30" t="s">
        <v>648</v>
      </c>
    </row>
    <row r="282" spans="1:3" hidden="1" x14ac:dyDescent="0.3">
      <c r="A282" s="29" t="s">
        <v>412</v>
      </c>
      <c r="B282" s="30" t="s">
        <v>622</v>
      </c>
      <c r="C282" s="30" t="s">
        <v>586</v>
      </c>
    </row>
    <row r="283" spans="1:3" x14ac:dyDescent="0.3">
      <c r="A283" s="29" t="s">
        <v>426</v>
      </c>
      <c r="B283" s="30" t="s">
        <v>586</v>
      </c>
      <c r="C283" s="30" t="s">
        <v>616</v>
      </c>
    </row>
    <row r="284" spans="1:3" x14ac:dyDescent="0.3">
      <c r="A284" s="29" t="s">
        <v>433</v>
      </c>
      <c r="B284" s="30" t="s">
        <v>590</v>
      </c>
      <c r="C284" s="30" t="s">
        <v>586</v>
      </c>
    </row>
    <row r="285" spans="1:3" hidden="1" x14ac:dyDescent="0.3">
      <c r="A285" s="29" t="s">
        <v>32</v>
      </c>
      <c r="B285" s="30" t="s">
        <v>619</v>
      </c>
      <c r="C285" s="30" t="s">
        <v>625</v>
      </c>
    </row>
    <row r="286" spans="1:3" hidden="1" x14ac:dyDescent="0.3">
      <c r="A286" s="29" t="s">
        <v>659</v>
      </c>
      <c r="B286" s="30" t="s">
        <v>611</v>
      </c>
      <c r="C286" s="30" t="s">
        <v>622</v>
      </c>
    </row>
    <row r="287" spans="1:3" hidden="1" x14ac:dyDescent="0.3">
      <c r="A287" s="29" t="s">
        <v>476</v>
      </c>
      <c r="B287" s="30" t="s">
        <v>619</v>
      </c>
      <c r="C287" s="30" t="s">
        <v>641</v>
      </c>
    </row>
    <row r="288" spans="1:3" hidden="1" x14ac:dyDescent="0.3">
      <c r="A288" s="29" t="s">
        <v>7</v>
      </c>
      <c r="B288" s="30" t="s">
        <v>624</v>
      </c>
      <c r="C288" s="30" t="s">
        <v>641</v>
      </c>
    </row>
    <row r="289" spans="1:3" hidden="1" x14ac:dyDescent="0.3">
      <c r="A289" s="29" t="s">
        <v>536</v>
      </c>
      <c r="B289" s="30" t="s">
        <v>622</v>
      </c>
      <c r="C289" s="30" t="s">
        <v>619</v>
      </c>
    </row>
    <row r="290" spans="1:3" x14ac:dyDescent="0.3">
      <c r="A290" s="29" t="s">
        <v>142</v>
      </c>
      <c r="B290" s="30" t="s">
        <v>590</v>
      </c>
      <c r="C290" s="30" t="s">
        <v>586</v>
      </c>
    </row>
    <row r="291" spans="1:3" hidden="1" x14ac:dyDescent="0.3">
      <c r="A291" s="29" t="s">
        <v>167</v>
      </c>
      <c r="B291" s="30" t="s">
        <v>616</v>
      </c>
      <c r="C291" s="30" t="s">
        <v>641</v>
      </c>
    </row>
    <row r="292" spans="1:3" x14ac:dyDescent="0.3">
      <c r="A292" s="29" t="s">
        <v>182</v>
      </c>
      <c r="B292" s="30" t="s">
        <v>590</v>
      </c>
      <c r="C292" s="30" t="s">
        <v>586</v>
      </c>
    </row>
    <row r="293" spans="1:3" hidden="1" x14ac:dyDescent="0.3">
      <c r="A293" s="29" t="s">
        <v>131</v>
      </c>
      <c r="B293" s="30" t="s">
        <v>589</v>
      </c>
      <c r="C293" s="30" t="s">
        <v>623</v>
      </c>
    </row>
    <row r="294" spans="1:3" x14ac:dyDescent="0.3">
      <c r="A294" s="29" t="s">
        <v>218</v>
      </c>
      <c r="B294" s="30" t="s">
        <v>590</v>
      </c>
      <c r="C294" s="30" t="s">
        <v>586</v>
      </c>
    </row>
    <row r="295" spans="1:3" x14ac:dyDescent="0.3">
      <c r="A295" s="29" t="s">
        <v>219</v>
      </c>
      <c r="B295" s="30" t="s">
        <v>590</v>
      </c>
      <c r="C295" s="30" t="s">
        <v>586</v>
      </c>
    </row>
    <row r="296" spans="1:3" x14ac:dyDescent="0.3">
      <c r="A296" s="29" t="s">
        <v>126</v>
      </c>
      <c r="B296" s="30" t="s">
        <v>588</v>
      </c>
      <c r="C296" s="30" t="s">
        <v>602</v>
      </c>
    </row>
    <row r="297" spans="1:3" hidden="1" x14ac:dyDescent="0.3">
      <c r="A297" s="29" t="s">
        <v>230</v>
      </c>
      <c r="B297" s="30" t="s">
        <v>619</v>
      </c>
      <c r="C297" s="30" t="s">
        <v>616</v>
      </c>
    </row>
    <row r="298" spans="1:3" x14ac:dyDescent="0.3">
      <c r="A298" s="29" t="s">
        <v>273</v>
      </c>
      <c r="B298" s="30" t="s">
        <v>586</v>
      </c>
      <c r="C298" s="30" t="s">
        <v>625</v>
      </c>
    </row>
    <row r="299" spans="1:3" x14ac:dyDescent="0.3">
      <c r="A299" s="29" t="s">
        <v>105</v>
      </c>
      <c r="B299" s="30" t="s">
        <v>590</v>
      </c>
      <c r="C299" s="30" t="s">
        <v>586</v>
      </c>
    </row>
    <row r="300" spans="1:3" hidden="1" x14ac:dyDescent="0.3">
      <c r="A300" s="29" t="s">
        <v>289</v>
      </c>
      <c r="B300" s="30" t="s">
        <v>619</v>
      </c>
      <c r="C300" s="30" t="s">
        <v>597</v>
      </c>
    </row>
    <row r="301" spans="1:3" x14ac:dyDescent="0.3">
      <c r="A301" s="29" t="s">
        <v>332</v>
      </c>
      <c r="B301" s="30" t="s">
        <v>586</v>
      </c>
      <c r="C301" s="30" t="s">
        <v>616</v>
      </c>
    </row>
    <row r="302" spans="1:3" x14ac:dyDescent="0.3">
      <c r="A302" s="29" t="s">
        <v>649</v>
      </c>
      <c r="B302" s="30" t="s">
        <v>588</v>
      </c>
      <c r="C302" s="30" t="s">
        <v>586</v>
      </c>
    </row>
    <row r="303" spans="1:3" x14ac:dyDescent="0.3">
      <c r="A303" s="29" t="s">
        <v>629</v>
      </c>
      <c r="B303" s="30" t="s">
        <v>588</v>
      </c>
      <c r="C303" s="30" t="s">
        <v>597</v>
      </c>
    </row>
    <row r="304" spans="1:3" hidden="1" x14ac:dyDescent="0.3">
      <c r="A304" s="29" t="s">
        <v>347</v>
      </c>
      <c r="B304" s="30" t="s">
        <v>625</v>
      </c>
      <c r="C304" s="30" t="s">
        <v>626</v>
      </c>
    </row>
    <row r="305" spans="1:3" hidden="1" x14ac:dyDescent="0.3">
      <c r="A305" s="29" t="s">
        <v>64</v>
      </c>
      <c r="B305" s="30" t="s">
        <v>624</v>
      </c>
      <c r="C305" s="30" t="s">
        <v>616</v>
      </c>
    </row>
    <row r="306" spans="1:3" hidden="1" x14ac:dyDescent="0.3">
      <c r="A306" s="29" t="s">
        <v>658</v>
      </c>
      <c r="B306" s="30" t="s">
        <v>608</v>
      </c>
      <c r="C306" s="30" t="s">
        <v>612</v>
      </c>
    </row>
    <row r="307" spans="1:3" hidden="1" x14ac:dyDescent="0.3">
      <c r="A307" s="29" t="s">
        <v>403</v>
      </c>
      <c r="B307" s="30" t="s">
        <v>611</v>
      </c>
      <c r="C307" s="30" t="s">
        <v>588</v>
      </c>
    </row>
    <row r="308" spans="1:3" hidden="1" x14ac:dyDescent="0.3">
      <c r="A308" s="29" t="s">
        <v>412</v>
      </c>
      <c r="B308" s="30" t="s">
        <v>622</v>
      </c>
      <c r="C308" s="30" t="s">
        <v>586</v>
      </c>
    </row>
    <row r="309" spans="1:3" x14ac:dyDescent="0.3">
      <c r="A309" s="29" t="s">
        <v>24</v>
      </c>
      <c r="B309" s="30" t="s">
        <v>590</v>
      </c>
      <c r="C309" s="30" t="s">
        <v>586</v>
      </c>
    </row>
    <row r="310" spans="1:3" hidden="1" x14ac:dyDescent="0.3">
      <c r="A310" s="29" t="s">
        <v>19</v>
      </c>
      <c r="B310" s="30" t="s">
        <v>622</v>
      </c>
      <c r="C310" s="30" t="s">
        <v>651</v>
      </c>
    </row>
    <row r="311" spans="1:3" hidden="1" x14ac:dyDescent="0.3">
      <c r="A311" s="29" t="s">
        <v>476</v>
      </c>
      <c r="B311" s="30" t="s">
        <v>619</v>
      </c>
      <c r="C311" s="30" t="s">
        <v>643</v>
      </c>
    </row>
    <row r="312" spans="1:3" x14ac:dyDescent="0.3">
      <c r="A312" s="29" t="s">
        <v>13</v>
      </c>
      <c r="B312" s="30" t="s">
        <v>586</v>
      </c>
      <c r="C312" s="30" t="s">
        <v>590</v>
      </c>
    </row>
    <row r="313" spans="1:3" hidden="1" x14ac:dyDescent="0.3">
      <c r="A313" s="29" t="s">
        <v>10</v>
      </c>
      <c r="B313" s="30" t="s">
        <v>599</v>
      </c>
      <c r="C313" s="30" t="s">
        <v>588</v>
      </c>
    </row>
    <row r="314" spans="1:3" hidden="1" x14ac:dyDescent="0.3">
      <c r="A314" s="29" t="s">
        <v>3</v>
      </c>
      <c r="B314" s="30" t="s">
        <v>622</v>
      </c>
      <c r="C314" s="30" t="s">
        <v>594</v>
      </c>
    </row>
    <row r="315" spans="1:3" hidden="1" x14ac:dyDescent="0.3">
      <c r="A315" s="29" t="s">
        <v>536</v>
      </c>
      <c r="B315" s="30" t="s">
        <v>622</v>
      </c>
      <c r="C315" s="30" t="s">
        <v>619</v>
      </c>
    </row>
    <row r="316" spans="1:3" hidden="1" x14ac:dyDescent="0.3">
      <c r="A316" s="29" t="s">
        <v>543</v>
      </c>
      <c r="B316" s="30" t="s">
        <v>624</v>
      </c>
      <c r="C316" s="30" t="s">
        <v>622</v>
      </c>
    </row>
    <row r="317" spans="1:3" hidden="1" x14ac:dyDescent="0.3">
      <c r="A317" s="29" t="s">
        <v>174</v>
      </c>
      <c r="B317" s="30" t="s">
        <v>607</v>
      </c>
      <c r="C317" s="30" t="s">
        <v>586</v>
      </c>
    </row>
    <row r="318" spans="1:3" hidden="1" x14ac:dyDescent="0.3">
      <c r="A318" s="29" t="s">
        <v>190</v>
      </c>
      <c r="B318" s="30" t="s">
        <v>594</v>
      </c>
      <c r="C318" s="30" t="s">
        <v>586</v>
      </c>
    </row>
    <row r="319" spans="1:3" hidden="1" x14ac:dyDescent="0.3">
      <c r="A319" s="29" t="s">
        <v>197</v>
      </c>
      <c r="B319" s="30" t="s">
        <v>597</v>
      </c>
      <c r="C319" s="30" t="s">
        <v>588</v>
      </c>
    </row>
    <row r="320" spans="1:3" hidden="1" x14ac:dyDescent="0.3">
      <c r="A320" s="29" t="s">
        <v>660</v>
      </c>
      <c r="B320" s="30" t="s">
        <v>611</v>
      </c>
      <c r="C320" s="30" t="s">
        <v>588</v>
      </c>
    </row>
    <row r="321" spans="1:3" hidden="1" x14ac:dyDescent="0.3">
      <c r="A321" s="29" t="s">
        <v>118</v>
      </c>
      <c r="B321" s="30" t="s">
        <v>611</v>
      </c>
      <c r="C321" s="30" t="s">
        <v>612</v>
      </c>
    </row>
    <row r="322" spans="1:3" hidden="1" x14ac:dyDescent="0.3">
      <c r="A322" s="29" t="s">
        <v>115</v>
      </c>
      <c r="B322" s="30" t="s">
        <v>630</v>
      </c>
      <c r="C322" s="30" t="s">
        <v>588</v>
      </c>
    </row>
    <row r="323" spans="1:3" hidden="1" x14ac:dyDescent="0.3">
      <c r="A323" s="29" t="s">
        <v>591</v>
      </c>
      <c r="B323" s="30" t="s">
        <v>599</v>
      </c>
      <c r="C323" s="30" t="s">
        <v>588</v>
      </c>
    </row>
    <row r="324" spans="1:3" hidden="1" x14ac:dyDescent="0.3">
      <c r="A324" s="29" t="s">
        <v>314</v>
      </c>
      <c r="B324" s="30" t="s">
        <v>616</v>
      </c>
      <c r="C324" s="30" t="s">
        <v>626</v>
      </c>
    </row>
    <row r="325" spans="1:3" x14ac:dyDescent="0.3">
      <c r="A325" s="29" t="s">
        <v>86</v>
      </c>
      <c r="B325" s="30" t="s">
        <v>590</v>
      </c>
      <c r="C325" s="30" t="s">
        <v>586</v>
      </c>
    </row>
    <row r="326" spans="1:3" hidden="1" x14ac:dyDescent="0.3">
      <c r="A326" s="29" t="s">
        <v>661</v>
      </c>
      <c r="B326" s="30" t="s">
        <v>608</v>
      </c>
      <c r="C326" s="30" t="s">
        <v>612</v>
      </c>
    </row>
    <row r="327" spans="1:3" x14ac:dyDescent="0.3">
      <c r="A327" s="29" t="s">
        <v>329</v>
      </c>
      <c r="B327" s="30" t="s">
        <v>588</v>
      </c>
      <c r="C327" s="30" t="s">
        <v>586</v>
      </c>
    </row>
    <row r="328" spans="1:3" x14ac:dyDescent="0.3">
      <c r="A328" s="29" t="s">
        <v>75</v>
      </c>
      <c r="B328" s="30" t="s">
        <v>588</v>
      </c>
      <c r="C328" s="30" t="s">
        <v>602</v>
      </c>
    </row>
    <row r="329" spans="1:3" hidden="1" x14ac:dyDescent="0.3">
      <c r="A329" s="29" t="s">
        <v>340</v>
      </c>
      <c r="B329" s="30" t="s">
        <v>594</v>
      </c>
      <c r="C329" s="30" t="s">
        <v>586</v>
      </c>
    </row>
    <row r="330" spans="1:3" hidden="1" x14ac:dyDescent="0.3">
      <c r="A330" s="29" t="s">
        <v>72</v>
      </c>
      <c r="B330" s="30" t="s">
        <v>594</v>
      </c>
      <c r="C330" s="30" t="s">
        <v>586</v>
      </c>
    </row>
    <row r="331" spans="1:3" x14ac:dyDescent="0.3">
      <c r="A331" s="29" t="s">
        <v>398</v>
      </c>
      <c r="B331" s="30" t="s">
        <v>590</v>
      </c>
      <c r="C331" s="30" t="s">
        <v>586</v>
      </c>
    </row>
    <row r="332" spans="1:3" x14ac:dyDescent="0.3">
      <c r="A332" s="29" t="s">
        <v>452</v>
      </c>
      <c r="B332" s="30" t="s">
        <v>588</v>
      </c>
      <c r="C332" s="30" t="s">
        <v>586</v>
      </c>
    </row>
    <row r="333" spans="1:3" x14ac:dyDescent="0.3">
      <c r="A333" s="29" t="s">
        <v>467</v>
      </c>
      <c r="B333" s="30" t="s">
        <v>590</v>
      </c>
      <c r="C333" s="30" t="s">
        <v>586</v>
      </c>
    </row>
    <row r="334" spans="1:3" hidden="1" x14ac:dyDescent="0.3">
      <c r="A334" s="29" t="s">
        <v>472</v>
      </c>
      <c r="B334" s="30" t="s">
        <v>603</v>
      </c>
      <c r="C334" s="30" t="s">
        <v>586</v>
      </c>
    </row>
    <row r="335" spans="1:3" hidden="1" x14ac:dyDescent="0.3">
      <c r="A335" s="29" t="s">
        <v>512</v>
      </c>
      <c r="B335" s="30" t="s">
        <v>587</v>
      </c>
      <c r="C335" s="30" t="s">
        <v>590</v>
      </c>
    </row>
    <row r="336" spans="1:3" x14ac:dyDescent="0.3">
      <c r="A336" s="29" t="s">
        <v>632</v>
      </c>
      <c r="B336" s="30" t="s">
        <v>586</v>
      </c>
      <c r="C336" s="30" t="s">
        <v>588</v>
      </c>
    </row>
  </sheetData>
  <autoFilter ref="A1:C336" xr:uid="{D98E6A01-785A-40E1-A599-D681D7266EFB}">
    <filterColumn colId="1">
      <filters>
        <filter val="IB_Decant"/>
        <filter val="RSP_Q_Stow"/>
        <filter val="RSP_Stow"/>
      </filters>
    </filterColumn>
  </autoFilter>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FCED2F-DA02-4BC5-8E03-64B43F5D9CBE}">
  <dimension ref="A1:G11"/>
  <sheetViews>
    <sheetView workbookViewId="0">
      <selection activeCell="B3" sqref="B3"/>
    </sheetView>
  </sheetViews>
  <sheetFormatPr defaultRowHeight="14.5" x14ac:dyDescent="0.35"/>
  <cols>
    <col min="1" max="1" width="10.81640625" bestFit="1" customWidth="1"/>
    <col min="2" max="2" width="17.81640625" bestFit="1" customWidth="1"/>
    <col min="3" max="3" width="25.6328125" bestFit="1" customWidth="1"/>
  </cols>
  <sheetData>
    <row r="1" spans="1:7" x14ac:dyDescent="0.35">
      <c r="A1" s="31" t="s">
        <v>583</v>
      </c>
      <c r="B1" s="32" t="s">
        <v>584</v>
      </c>
      <c r="C1" s="32" t="s">
        <v>585</v>
      </c>
      <c r="D1" s="33" t="s">
        <v>663</v>
      </c>
    </row>
    <row r="2" spans="1:7" x14ac:dyDescent="0.35">
      <c r="A2" s="34" t="s">
        <v>10</v>
      </c>
      <c r="B2" s="30" t="s">
        <v>599</v>
      </c>
      <c r="C2" s="30" t="s">
        <v>588</v>
      </c>
      <c r="D2" s="17">
        <v>4</v>
      </c>
      <c r="G2" s="17"/>
    </row>
    <row r="3" spans="1:7" x14ac:dyDescent="0.35">
      <c r="A3" s="34" t="s">
        <v>472</v>
      </c>
      <c r="B3" s="30" t="s">
        <v>603</v>
      </c>
      <c r="C3" s="30" t="s">
        <v>586</v>
      </c>
      <c r="D3" s="17">
        <v>4</v>
      </c>
      <c r="G3" s="17"/>
    </row>
    <row r="4" spans="1:7" x14ac:dyDescent="0.35">
      <c r="A4" s="34" t="s">
        <v>614</v>
      </c>
      <c r="B4" s="30" t="s">
        <v>597</v>
      </c>
      <c r="C4" s="30" t="s">
        <v>612</v>
      </c>
      <c r="D4" s="17">
        <v>4</v>
      </c>
      <c r="G4" s="17"/>
    </row>
    <row r="5" spans="1:7" x14ac:dyDescent="0.35">
      <c r="A5" s="29" t="s">
        <v>452</v>
      </c>
      <c r="B5" s="30" t="s">
        <v>588</v>
      </c>
      <c r="C5" s="30" t="s">
        <v>586</v>
      </c>
      <c r="D5" s="17">
        <v>4</v>
      </c>
      <c r="G5" s="17"/>
    </row>
    <row r="6" spans="1:7" x14ac:dyDescent="0.35">
      <c r="A6" s="35" t="s">
        <v>398</v>
      </c>
      <c r="B6" s="30" t="s">
        <v>590</v>
      </c>
      <c r="C6" s="30" t="s">
        <v>622</v>
      </c>
      <c r="D6" s="17">
        <v>5</v>
      </c>
      <c r="G6" s="17"/>
    </row>
    <row r="7" spans="1:7" x14ac:dyDescent="0.35">
      <c r="A7" s="34" t="s">
        <v>300</v>
      </c>
      <c r="B7" s="30" t="s">
        <v>619</v>
      </c>
      <c r="C7" s="30" t="s">
        <v>622</v>
      </c>
      <c r="D7" s="17">
        <v>4</v>
      </c>
      <c r="G7" s="17"/>
    </row>
    <row r="8" spans="1:7" x14ac:dyDescent="0.35">
      <c r="A8" s="29" t="s">
        <v>289</v>
      </c>
      <c r="B8" s="30" t="s">
        <v>619</v>
      </c>
      <c r="C8" s="30" t="s">
        <v>636</v>
      </c>
      <c r="D8" s="17">
        <v>4</v>
      </c>
      <c r="G8" s="17"/>
    </row>
    <row r="9" spans="1:7" x14ac:dyDescent="0.35">
      <c r="A9" s="29" t="s">
        <v>591</v>
      </c>
      <c r="B9" s="30" t="s">
        <v>599</v>
      </c>
      <c r="C9" s="30" t="s">
        <v>588</v>
      </c>
      <c r="D9" s="17">
        <v>5</v>
      </c>
      <c r="G9" s="17"/>
    </row>
    <row r="10" spans="1:7" x14ac:dyDescent="0.35">
      <c r="A10" s="29" t="s">
        <v>606</v>
      </c>
      <c r="B10" s="30" t="s">
        <v>607</v>
      </c>
      <c r="C10" s="30" t="s">
        <v>588</v>
      </c>
      <c r="D10" s="17">
        <v>6</v>
      </c>
      <c r="G10" s="17"/>
    </row>
    <row r="11" spans="1:7" x14ac:dyDescent="0.35">
      <c r="A11" s="29" t="s">
        <v>146</v>
      </c>
      <c r="B11" s="30" t="s">
        <v>611</v>
      </c>
      <c r="C11" s="30" t="s">
        <v>588</v>
      </c>
      <c r="D11" s="17">
        <v>4</v>
      </c>
      <c r="G11" s="17"/>
    </row>
  </sheetData>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 Stow 15-30Jun</vt:lpstr>
      <vt:lpstr>Sheet1</vt:lpstr>
      <vt:lpstr>Sheet4</vt:lpstr>
      <vt:lpstr>Sheet3</vt:lpstr>
      <vt:lpstr>Sheet6</vt:lpstr>
      <vt:lpstr>TOP_ALLOC_OFFENDERS</vt:lpstr>
      <vt:lpstr>Expected Task </vt:lpstr>
      <vt:lpstr>Actual Task</vt:lpstr>
      <vt:lpstr>ALLOC</vt:lpstr>
      <vt:lpstr>MOTIVOS_TOP_OFFENDERS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Camara Manresa, Jose Javier</dc:creator>
  <cp:lastModifiedBy>Camara Manresa, Jose Javier</cp:lastModifiedBy>
  <dcterms:created xsi:type="dcterms:W3CDTF">2025-07-15T07:29:45Z</dcterms:created>
  <dcterms:modified xsi:type="dcterms:W3CDTF">2025-07-17T12:53:58Z</dcterms:modified>
</cp:coreProperties>
</file>